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Gantt" sheetId="3" state="visible" r:id="rId5"/>
    <sheet name="Stakeholders" sheetId="4" state="visible" r:id="rId6"/>
    <sheet name="RACI" sheetId="5" state="visible" r:id="rId7"/>
    <sheet name="RAID Log" sheetId="6" state="visible" r:id="rId8"/>
    <sheet name="Comms Plan" sheetId="7" state="visible" r:id="rId9"/>
    <sheet name="Budget" sheetId="8" state="visible" r:id="rId10"/>
    <sheet name="Scope Back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<sst xmlns="http://schemas.openxmlformats.org/spreadsheetml/2006/main" count="474" uniqueCount="300">
  <si>
    <t xml:space="preserve">Clinic Appointment Scheduling Upgrade – PM Workbook</t>
  </si>
  <si>
    <t xml:space="preserve">Simulated project – organisation, people and figures are fictional (PM Project Lab practice brief).</t>
  </si>
  <si>
    <t xml:space="preserve">Organisation</t>
  </si>
  <si>
    <t xml:space="preserve">Riverbend Community Hospital (fictional) – 200-bed provider with 6 outpatient clinics</t>
  </si>
  <si>
    <t xml:space="preserve">Sponsor</t>
  </si>
  <si>
    <t xml:space="preserve">David Mensah, Chief Operating Officer</t>
  </si>
  <si>
    <t xml:space="preserve">Project Manager</t>
  </si>
  <si>
    <t xml:space="preserve">Sola Debanjo, PMP</t>
  </si>
  <si>
    <t xml:space="preserve">Approach</t>
  </si>
  <si>
    <t xml:space="preserve">Hybrid (Waterfall governance + Agile configuration sprints)</t>
  </si>
  <si>
    <t xml:space="preserve">Duration (weeks)</t>
  </si>
  <si>
    <t xml:space="preserve">Budget (assumed)</t>
  </si>
  <si>
    <t xml:space="preserve">CAD $850,000 (assumed; includes 10% contingency)</t>
  </si>
  <si>
    <t xml:space="preserve">How to use this workbook</t>
  </si>
  <si>
    <t xml:space="preserve">• Blue text on a yellow background = an input you can change (e.g., project start date, status week, actuals).</t>
  </si>
  <si>
    <t xml:space="preserve">• Black text = formulas. They recalculate automatically when inputs change.</t>
  </si>
  <si>
    <t xml:space="preserve">• Gantt: change the project start date or a task's start week/duration and the bars and dates move.</t>
  </si>
  <si>
    <t xml:space="preserve">• RAID: Score = Probability × Impact; colour turns red at 15+, amber at 8–14.</t>
  </si>
  <si>
    <t xml:space="preserve">• The schedule is also provided as a Microsoft Project XML file (opens in MS Project or the free ProjectLibre).</t>
  </si>
  <si>
    <t xml:space="preserve">Clinic Scheduling Upgrade – Week 12 status</t>
  </si>
  <si>
    <t xml:space="preserve">Simulated data – built in Excel</t>
  </si>
  <si>
    <t xml:space="preserve">Measure</t>
  </si>
  <si>
    <t xml:space="preserve">Actual</t>
  </si>
  <si>
    <t xml:space="preserve">Plan / target</t>
  </si>
  <si>
    <t xml:space="preserve">% / variance</t>
  </si>
  <si>
    <t xml:space="preserve">Budget spent (CAD)</t>
  </si>
  <si>
    <t xml:space="preserve">Schedule elapsed (weeks)</t>
  </si>
  <si>
    <t xml:space="preserve">System test cases passed</t>
  </si>
  <si>
    <t xml:space="preserve">Critical defects open</t>
  </si>
  <si>
    <t xml:space="preserve">Super-users trained</t>
  </si>
  <si>
    <t xml:space="preserve">Gantt Schedule</t>
  </si>
  <si>
    <t xml:space="preserve">Start date (Week 1):</t>
  </si>
  <si>
    <t xml:space="preserve">ID</t>
  </si>
  <si>
    <t xml:space="preserve">Phase</t>
  </si>
  <si>
    <t xml:space="preserve">Work package / milestone</t>
  </si>
  <si>
    <t xml:space="preserve">Owner</t>
  </si>
  <si>
    <t xml:space="preserve">Start wk</t>
  </si>
  <si>
    <t xml:space="preserve">Duration (wks)</t>
  </si>
  <si>
    <t xml:space="preserve">End wk</t>
  </si>
  <si>
    <t xml:space="preserve">Start date</t>
  </si>
  <si>
    <t xml:space="preserve">Finish date</t>
  </si>
  <si>
    <t xml:space="preserve">1</t>
  </si>
  <si>
    <t xml:space="preserve">Initiation</t>
  </si>
  <si>
    <t xml:space="preserve">Charter, stakeholder analysis, governance setup</t>
  </si>
  <si>
    <t xml:space="preserve">PM</t>
  </si>
  <si>
    <t xml:space="preserve">2</t>
  </si>
  <si>
    <t xml:space="preserve">Requirements</t>
  </si>
  <si>
    <t xml:space="preserve">Clinic workflow mapping &amp; requirements</t>
  </si>
  <si>
    <t xml:space="preserve">Clinical Lead</t>
  </si>
  <si>
    <t xml:space="preserve">3</t>
  </si>
  <si>
    <t xml:space="preserve">Privacy impact assessment</t>
  </si>
  <si>
    <t xml:space="preserve">Privacy Officer</t>
  </si>
  <si>
    <t xml:space="preserve">4</t>
  </si>
  <si>
    <t xml:space="preserve">Design &amp; Configuration</t>
  </si>
  <si>
    <t xml:space="preserve">Configuration design (templates, rules)</t>
  </si>
  <si>
    <t xml:space="preserve">Vendor</t>
  </si>
  <si>
    <t xml:space="preserve">5</t>
  </si>
  <si>
    <t xml:space="preserve">Configuration sprints 1–3</t>
  </si>
  <si>
    <t xml:space="preserve">6</t>
  </si>
  <si>
    <t xml:space="preserve">Integration build (interface engine)</t>
  </si>
  <si>
    <t xml:space="preserve">IT Lead</t>
  </si>
  <si>
    <t xml:space="preserve">7</t>
  </si>
  <si>
    <t xml:space="preserve">Data Migration</t>
  </si>
  <si>
    <t xml:space="preserve">Migration mapping &amp; trial load</t>
  </si>
  <si>
    <t xml:space="preserve">8</t>
  </si>
  <si>
    <t xml:space="preserve">Testing</t>
  </si>
  <si>
    <t xml:space="preserve">System &amp; integration testing</t>
  </si>
  <si>
    <t xml:space="preserve">9</t>
  </si>
  <si>
    <t xml:space="preserve">User acceptance testing (UAT)</t>
  </si>
  <si>
    <t xml:space="preserve">10</t>
  </si>
  <si>
    <t xml:space="preserve">Readiness</t>
  </si>
  <si>
    <t xml:space="preserve">Training (super-users then all staff)</t>
  </si>
  <si>
    <t xml:space="preserve">Booking Lead</t>
  </si>
  <si>
    <t xml:space="preserve">11</t>
  </si>
  <si>
    <t xml:space="preserve">Cutover rehearsal &amp; go-live checklist</t>
  </si>
  <si>
    <t xml:space="preserve">12</t>
  </si>
  <si>
    <t xml:space="preserve">Deployment</t>
  </si>
  <si>
    <t xml:space="preserve">Weekend cutover &amp; go-live</t>
  </si>
  <si>
    <t xml:space="preserve">13</t>
  </si>
  <si>
    <t xml:space="preserve">Hypercare &amp; Closure</t>
  </si>
  <si>
    <t xml:space="preserve">Hypercare (4 weeks incl. go-live week)</t>
  </si>
  <si>
    <t xml:space="preserve">14</t>
  </si>
  <si>
    <t xml:space="preserve">Benefits baseline handover &amp; closure report</t>
  </si>
  <si>
    <t xml:space="preserve">15</t>
  </si>
  <si>
    <t xml:space="preserve">Milestone</t>
  </si>
  <si>
    <t xml:space="preserve">Charter approved</t>
  </si>
  <si>
    <t xml:space="preserve">16</t>
  </si>
  <si>
    <t xml:space="preserve">Requirements signed off</t>
  </si>
  <si>
    <t xml:space="preserve">17</t>
  </si>
  <si>
    <t xml:space="preserve">Configuration design approved</t>
  </si>
  <si>
    <t xml:space="preserve">18</t>
  </si>
  <si>
    <t xml:space="preserve">Integration build complete</t>
  </si>
  <si>
    <t xml:space="preserve">19</t>
  </si>
  <si>
    <t xml:space="preserve">Data migration trial reconciled</t>
  </si>
  <si>
    <t xml:space="preserve">20</t>
  </si>
  <si>
    <t xml:space="preserve">UAT sign-off</t>
  </si>
  <si>
    <t xml:space="preserve">21</t>
  </si>
  <si>
    <t xml:space="preserve">Go / no-go decision</t>
  </si>
  <si>
    <t xml:space="preserve">22</t>
  </si>
  <si>
    <t xml:space="preserve">Go-live (all clinics)</t>
  </si>
  <si>
    <t xml:space="preserve">23</t>
  </si>
  <si>
    <t xml:space="preserve">Hypercare exit &amp; closure</t>
  </si>
  <si>
    <t xml:space="preserve">Stakeholders</t>
  </si>
  <si>
    <t xml:space="preserve">Stakeholder</t>
  </si>
  <si>
    <t xml:space="preserve">Role</t>
  </si>
  <si>
    <t xml:space="preserve">Primary concern</t>
  </si>
  <si>
    <t xml:space="preserve">Influence</t>
  </si>
  <si>
    <t xml:space="preserve">Interest</t>
  </si>
  <si>
    <t xml:space="preserve">Engagement approach</t>
  </si>
  <si>
    <t xml:space="preserve">David Mensah</t>
  </si>
  <si>
    <t xml:space="preserve">Executive Sponsor (COO)</t>
  </si>
  <si>
    <t xml:space="preserve">Outcome, patient safety and budget</t>
  </si>
  <si>
    <t xml:space="preserve">High</t>
  </si>
  <si>
    <t xml:space="preserve">Monthly steering; weekly 1-page update; decision requests with options</t>
  </si>
  <si>
    <t xml:space="preserve">Mariam Bello</t>
  </si>
  <si>
    <t xml:space="preserve">Clinical / Service Lead (Outpatient Services Manager)</t>
  </si>
  <si>
    <t xml:space="preserve">Operational impact and adoption</t>
  </si>
  <si>
    <t xml:space="preserve">Weekly working group; co-designs clinic templates; signs off UAT</t>
  </si>
  <si>
    <t xml:space="preserve">Fatima Sule</t>
  </si>
  <si>
    <t xml:space="preserve">Technology Lead (IT Applications Manager)</t>
  </si>
  <si>
    <t xml:space="preserve">Integration, security and delivery capacity</t>
  </si>
  <si>
    <t xml:space="preserve">Weekly working group; owns technical design and integration</t>
  </si>
  <si>
    <t xml:space="preserve">Michael Adekunle</t>
  </si>
  <si>
    <t xml:space="preserve">Operations / Frontline Lead (Booking Office Supervisor)</t>
  </si>
  <si>
    <t xml:space="preserve">Workflow disruption and usability</t>
  </si>
  <si>
    <t xml:space="preserve">Medium</t>
  </si>
  <si>
    <t xml:space="preserve">Super-user network lead; early demos; training schedule</t>
  </si>
  <si>
    <t xml:space="preserve">Vendor Implementation Lead</t>
  </si>
  <si>
    <t xml:space="preserve">Supplier</t>
  </si>
  <si>
    <t xml:space="preserve">Contract scope and payment milestones</t>
  </si>
  <si>
    <t xml:space="preserve">Weekly vendor checkpoint; milestone evidence reviews</t>
  </si>
  <si>
    <t xml:space="preserve">Compliance</t>
  </si>
  <si>
    <t xml:space="preserve">Patient data protection, access control</t>
  </si>
  <si>
    <t xml:space="preserve">Privacy impact assessment; review of reminder content</t>
  </si>
  <si>
    <t xml:space="preserve">Clinic physicians</t>
  </si>
  <si>
    <t xml:space="preserve">End users (clinical)</t>
  </si>
  <si>
    <t xml:space="preserve">Clinic templates, session lengths</t>
  </si>
  <si>
    <t xml:space="preserve">Clinic huddles; template review sessions</t>
  </si>
  <si>
    <t xml:space="preserve">Booking &amp; reception staff</t>
  </si>
  <si>
    <t xml:space="preserve">End users</t>
  </si>
  <si>
    <t xml:space="preserve">Ease of use, workload during cutover</t>
  </si>
  <si>
    <t xml:space="preserve">Low</t>
  </si>
  <si>
    <t xml:space="preserve">Super-users, hands-on training, floor-walkers at go-live</t>
  </si>
  <si>
    <t xml:space="preserve">Patients / Patient Advisory Council</t>
  </si>
  <si>
    <t xml:space="preserve">Service users</t>
  </si>
  <si>
    <t xml:space="preserve">Clear reminders, no lost appointments</t>
  </si>
  <si>
    <t xml:space="preserve">Reminder wording tested with council; patient notices</t>
  </si>
  <si>
    <t xml:space="preserve">RACI</t>
  </si>
  <si>
    <t xml:space="preserve">Activity / deliverable</t>
  </si>
  <si>
    <t xml:space="preserve">PM (Sola)</t>
  </si>
  <si>
    <t xml:space="preserve">A count (must be 1)</t>
  </si>
  <si>
    <t xml:space="preserve">Project charter</t>
  </si>
  <si>
    <t xml:space="preserve">A</t>
  </si>
  <si>
    <t xml:space="preserve">R</t>
  </si>
  <si>
    <t xml:space="preserve">C</t>
  </si>
  <si>
    <t xml:space="preserve">I</t>
  </si>
  <si>
    <t xml:space="preserve">Requirements &amp; clinic templates</t>
  </si>
  <si>
    <t xml:space="preserve">Integration build &amp; testing</t>
  </si>
  <si>
    <t xml:space="preserve">Data migration &amp; reconciliation</t>
  </si>
  <si>
    <t xml:space="preserve">Training</t>
  </si>
  <si>
    <t xml:space="preserve">Hypercare &amp; issue resolution</t>
  </si>
  <si>
    <t xml:space="preserve">R = Responsible · A = Accountable · C = Consulted · I = Informed. Check column: each row must have exactly one A.</t>
  </si>
  <si>
    <t xml:space="preserve">RAID Log</t>
  </si>
  <si>
    <t xml:space="preserve">Type</t>
  </si>
  <si>
    <t xml:space="preserve">Description</t>
  </si>
  <si>
    <t xml:space="preserve">Probability (1-5)</t>
  </si>
  <si>
    <t xml:space="preserve">Impact (1-5)</t>
  </si>
  <si>
    <t xml:space="preserve">Score</t>
  </si>
  <si>
    <t xml:space="preserve">Response / action</t>
  </si>
  <si>
    <t xml:space="preserve">Status</t>
  </si>
  <si>
    <t xml:space="preserve">Review week</t>
  </si>
  <si>
    <t xml:space="preserve">Risk</t>
  </si>
  <si>
    <t xml:space="preserve">R-01</t>
  </si>
  <si>
    <t xml:space="preserve">Vendor misses integration milestone, delaying system testing</t>
  </si>
  <si>
    <t xml:space="preserve">Weekly evidence-based checkpoints (test results, not verbal updates); contractual milestone tied to payment</t>
  </si>
  <si>
    <t xml:space="preserve">Occurred → see I-01</t>
  </si>
  <si>
    <t xml:space="preserve">R-02</t>
  </si>
  <si>
    <t xml:space="preserve">Booking staff resist new workflows, slowing adoption</t>
  </si>
  <si>
    <t xml:space="preserve">Super-user network, early demos, floor-walkers in go-live week</t>
  </si>
  <si>
    <t xml:space="preserve">Open</t>
  </si>
  <si>
    <t xml:space="preserve">R-03</t>
  </si>
  <si>
    <t xml:space="preserve">Migrated appointments lost or duplicated</t>
  </si>
  <si>
    <t xml:space="preserve">Two trial loads with 100% reconciliation; freeze window before cutover</t>
  </si>
  <si>
    <t xml:space="preserve">R-04</t>
  </si>
  <si>
    <t xml:space="preserve">Reminder messages expose patient information</t>
  </si>
  <si>
    <t xml:space="preserve">Minimum-data message template approved by Privacy Officer</t>
  </si>
  <si>
    <t xml:space="preserve">Closed</t>
  </si>
  <si>
    <t xml:space="preserve">R-05</t>
  </si>
  <si>
    <t xml:space="preserve">Clinicians unavailable for UAT</t>
  </si>
  <si>
    <t xml:space="preserve">UAT slots booked in Week 6; clinic sessions backfilled</t>
  </si>
  <si>
    <t xml:space="preserve">Assumption</t>
  </si>
  <si>
    <t xml:space="preserve">A-01</t>
  </si>
  <si>
    <t xml:space="preserve">Legacy system remains read-only for 6 months</t>
  </si>
  <si>
    <t xml:space="preserve">Confirmed with IT Director</t>
  </si>
  <si>
    <t xml:space="preserve">Validated</t>
  </si>
  <si>
    <t xml:space="preserve">Issue</t>
  </si>
  <si>
    <t xml:space="preserve">I-01</t>
  </si>
  <si>
    <t xml:space="preserve">Vendor missed integration-complete milestone (Week 10); proposed 1-week recovery without evidence</t>
  </si>
  <si>
    <t xml:space="preserve">Decision D-03 / change request CR-03 (see decision log)</t>
  </si>
  <si>
    <t xml:space="preserve">Resolved</t>
  </si>
  <si>
    <t xml:space="preserve">Dependency</t>
  </si>
  <si>
    <t xml:space="preserve">D-01</t>
  </si>
  <si>
    <t xml:space="preserve">Interface engine team capacity (2 days/week from Week 7)</t>
  </si>
  <si>
    <t xml:space="preserve">Agreed in writing with integration manager; tracked weekly</t>
  </si>
  <si>
    <t xml:space="preserve">D-02</t>
  </si>
  <si>
    <t xml:space="preserve">Privacy impact assessment approval before reminder go-live</t>
  </si>
  <si>
    <t xml:space="preserve">Submitted Week 4; approved Week 6</t>
  </si>
  <si>
    <t xml:space="preserve">Open risks scored 15+:</t>
  </si>
  <si>
    <t xml:space="preserve">Comms Plan</t>
  </si>
  <si>
    <t xml:space="preserve">Audience</t>
  </si>
  <si>
    <t xml:space="preserve">Information</t>
  </si>
  <si>
    <t xml:space="preserve">Format / channel</t>
  </si>
  <si>
    <t xml:space="preserve">Frequency</t>
  </si>
  <si>
    <t xml:space="preserve">Escalation route</t>
  </si>
  <si>
    <t xml:space="preserve">Steering Committee</t>
  </si>
  <si>
    <t xml:space="preserve">Status, RAG, budget, decisions needed</t>
  </si>
  <si>
    <t xml:space="preserve">Steering meeting + 1-page report</t>
  </si>
  <si>
    <t xml:space="preserve">Monthly</t>
  </si>
  <si>
    <t xml:space="preserve">Executive Sponsor</t>
  </si>
  <si>
    <t xml:space="preserve">Progress, top risks, decisions</t>
  </si>
  <si>
    <t xml:space="preserve">1-page email update + 15-min call</t>
  </si>
  <si>
    <t xml:space="preserve">Weekly</t>
  </si>
  <si>
    <t xml:space="preserve">Project working group</t>
  </si>
  <si>
    <t xml:space="preserve">Plan, RAID, actions</t>
  </si>
  <si>
    <t xml:space="preserve">Teams meeting + RAID log</t>
  </si>
  <si>
    <t xml:space="preserve">Milestone evidence, defects</t>
  </si>
  <si>
    <t xml:space="preserve">Checkpoint call + defect tracker</t>
  </si>
  <si>
    <t xml:space="preserve">PM → Sponsor</t>
  </si>
  <si>
    <t xml:space="preserve">Clinic managers &amp; physicians</t>
  </si>
  <si>
    <t xml:space="preserve">What changes, when, what they need to do</t>
  </si>
  <si>
    <t xml:space="preserve">Clinic huddle slot + newsletter</t>
  </si>
  <si>
    <t xml:space="preserve">Bi-weekly</t>
  </si>
  <si>
    <t xml:space="preserve">Training dates, go-live support</t>
  </si>
  <si>
    <t xml:space="preserve">Team briefings, quick-reference guides</t>
  </si>
  <si>
    <t xml:space="preserve">Bi-weekly, daily in go-live week</t>
  </si>
  <si>
    <t xml:space="preserve">Patients</t>
  </si>
  <si>
    <t xml:space="preserve">New reminder messages</t>
  </si>
  <si>
    <t xml:space="preserve">Clinic posters, website notice</t>
  </si>
  <si>
    <t xml:space="preserve">Once before go-live</t>
  </si>
  <si>
    <t xml:space="preserve">—</t>
  </si>
  <si>
    <t xml:space="preserve">Budget</t>
  </si>
  <si>
    <t xml:space="preserve">Cost category</t>
  </si>
  <si>
    <t xml:space="preserve">Amount (CAD)</t>
  </si>
  <si>
    <t xml:space="preserve">Notes</t>
  </si>
  <si>
    <t xml:space="preserve">Vendor licences &amp; implementation services</t>
  </si>
  <si>
    <t xml:space="preserve">Fixed-price contract</t>
  </si>
  <si>
    <t xml:space="preserve">Internal IT &amp; interface engine effort</t>
  </si>
  <si>
    <t xml:space="preserve">Backfill for analysts</t>
  </si>
  <si>
    <t xml:space="preserve">SMS/email reminder service (Year 1)</t>
  </si>
  <si>
    <t xml:space="preserve">Per-message pricing</t>
  </si>
  <si>
    <t xml:space="preserve">Training &amp; backfill for booking staff</t>
  </si>
  <si>
    <t xml:space="preserve">2 sessions per person</t>
  </si>
  <si>
    <t xml:space="preserve">Project management &amp; change management</t>
  </si>
  <si>
    <t xml:space="preserve">Contingency (10%)</t>
  </si>
  <si>
    <t xml:space="preserve">Released by sponsor only</t>
  </si>
  <si>
    <t xml:space="preserve">Total</t>
  </si>
  <si>
    <t xml:space="preserve">Contingency as % of total</t>
  </si>
  <si>
    <t xml:space="preserve">Scope Backlog</t>
  </si>
  <si>
    <t xml:space="preserve">User story</t>
  </si>
  <si>
    <t xml:space="preserve">Priority (MoSCoW)</t>
  </si>
  <si>
    <t xml:space="preserve">Acceptance criteria</t>
  </si>
  <si>
    <t xml:space="preserve">Release</t>
  </si>
  <si>
    <t xml:space="preserve">B-01</t>
  </si>
  <si>
    <t xml:space="preserve">As a booking clerk, I can book an appointment from a clinic template so sessions are not double-booked</t>
  </si>
  <si>
    <t xml:space="preserve">Must</t>
  </si>
  <si>
    <t xml:space="preserve">System blocks overlapping bookings for same clinician/room; tested on all 6 clinic templates</t>
  </si>
  <si>
    <t xml:space="preserve">Go-live</t>
  </si>
  <si>
    <t xml:space="preserve">Done</t>
  </si>
  <si>
    <t xml:space="preserve">B-02</t>
  </si>
  <si>
    <t xml:space="preserve">As a patient, I receive a reminder 48 h before my appointment</t>
  </si>
  <si>
    <t xml:space="preserve">SMS or email sent for 100% of booked appointments in test; message contains no clinical details</t>
  </si>
  <si>
    <t xml:space="preserve">B-03</t>
  </si>
  <si>
    <t xml:space="preserve">As a patient, I can reply to cancel so the slot can be reused</t>
  </si>
  <si>
    <t xml:space="preserve">Should</t>
  </si>
  <si>
    <t xml:space="preserve">Reply 'C' cancels and frees slot within 5 min; booking office notified</t>
  </si>
  <si>
    <t xml:space="preserve">B-04</t>
  </si>
  <si>
    <t xml:space="preserve">As a clinic manager, I see daily utilisation and no-shows by clinic</t>
  </si>
  <si>
    <t xml:space="preserve">Report available by 08:00 daily; figures match source within 1%</t>
  </si>
  <si>
    <t xml:space="preserve">B-05</t>
  </si>
  <si>
    <t xml:space="preserve">As a booking clerk, patient demographics load from the patient administration system</t>
  </si>
  <si>
    <t xml:space="preserve">Demographics returned in under 3 s; no manual re-keying</t>
  </si>
  <si>
    <t xml:space="preserve">B-06</t>
  </si>
  <si>
    <t xml:space="preserve">As IT, all access is role-based and audited</t>
  </si>
  <si>
    <t xml:space="preserve">Access review completed; audit log captures view/edit events</t>
  </si>
  <si>
    <t xml:space="preserve">B-07</t>
  </si>
  <si>
    <t xml:space="preserve">As a booking clerk, I can manage a wait list and offer cancelled slots</t>
  </si>
  <si>
    <t xml:space="preserve">Wait-list patients offered freed slot automatically</t>
  </si>
  <si>
    <t xml:space="preserve">Release 1.1</t>
  </si>
  <si>
    <t xml:space="preserve">Backlog</t>
  </si>
  <si>
    <t xml:space="preserve">B-08</t>
  </si>
  <si>
    <t xml:space="preserve">As a patient, I can book online</t>
  </si>
  <si>
    <t xml:space="preserve">Could</t>
  </si>
  <si>
    <t xml:space="preserve">Phase 2</t>
  </si>
  <si>
    <t xml:space="preserve">Deferred</t>
  </si>
  <si>
    <t xml:space="preserve">B-09</t>
  </si>
  <si>
    <t xml:space="preserve">Interpreter booking flag</t>
  </si>
  <si>
    <t xml:space="preserve">Flag visible on appointment and in daily list</t>
  </si>
  <si>
    <t xml:space="preserve">B-10</t>
  </si>
  <si>
    <t xml:space="preserve">Multi-language reminders</t>
  </si>
  <si>
    <t xml:space="preserve">Won't (this phase)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</si>
</sst>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%"/>
    <numFmt numFmtId="167" formatCode="0"/>
    <numFmt numFmtId="168" formatCode="dd\ mmm\ yyyy"/>
    <numFmt numFmtId="169" formatCode="dd\ mmm\ yy"/>
    <numFmt numFmtId="170" formatCode="General"/>
    <numFmt numFmtId="171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2514E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color rgb="FF2A78D6"/>
      </font>
      <fill>
        <patternFill>
          <bgColor rgb="FF2A78D6"/>
        </patternFill>
      </fill>
    </dxf>
    <dxf>
      <font>
        <name val="Arial"/>
        <charset val="1"/>
        <family val="0"/>
        <b val="1"/>
        <color rgb="FFC00000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D9E2F3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29A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29A"/>
        </patternFill>
      </fill>
    </dxf>
    <dxf>
      <fill>
        <patternFill>
          <bgColor rgb="FFB7E1B5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E1B5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4B6B6"/>
      <rgbColor rgb="FFCC99FF"/>
      <rgbColor rgb="FFFFE29A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Budget by cost category (CAD)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Budget!B4</c:f>
              <c:strCache>
                <c:ptCount val="1"/>
                <c:pt idx="0">
                  <c:v>Amount (CAD)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Budget!$A$5:$A$10</c:f>
              <c:strCache>
                <c:ptCount val="6"/>
                <c:pt idx="0">
                  <c:v>Vendor licences &amp; implementation services</c:v>
                </c:pt>
                <c:pt idx="1">
                  <c:v>Internal IT &amp; interface engine effort</c:v>
                </c:pt>
                <c:pt idx="2">
                  <c:v>SMS/email reminder service (Year 1)</c:v>
                </c:pt>
                <c:pt idx="3">
                  <c:v>Training &amp; backfill for booking staff</c:v>
                </c:pt>
                <c:pt idx="4">
                  <c:v>Project management &amp; change management</c:v>
                </c:pt>
                <c:pt idx="5">
                  <c:v>Contingency (10%)</c:v>
                </c:pt>
              </c:strCache>
            </c:strRef>
          </c:cat>
          <c:val>
            <c:numRef>
              <c:f>Budget!$B$5:$B$10</c:f>
              <c:numCache>
                <c:formatCode>\$#,##0</c:formatCode>
                <c:ptCount val="6"/>
                <c:pt idx="0">
                  <c:v>410000</c:v>
                </c:pt>
                <c:pt idx="1">
                  <c:v>150000</c:v>
                </c:pt>
                <c:pt idx="2">
                  <c:v>45000</c:v>
                </c:pt>
                <c:pt idx="3">
                  <c:v>90000</c:v>
                </c:pt>
                <c:pt idx="4">
                  <c:v>77000</c:v>
                </c:pt>
                <c:pt idx="5">
                  <c:v>78000</c:v>
                </c:pt>
              </c:numCache>
            </c:numRef>
          </c:val>
        </c:ser>
        <c:gapWidth val="150"/>
        <c:overlap val="0"/>
        <c:axId val="60861263"/>
        <c:axId val="47951283"/>
      </c:barChart>
      <c:catAx>
        <c:axId val="6086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51283"/>
        <c:crosses val="autoZero"/>
        <c:auto val="1"/>
        <c:lblAlgn val="ctr"/>
        <c:lblOffset val="100"/>
        <c:noMultiLvlLbl val="0"/>
      </c:catAx>
      <c:valAx>
        <c:axId val="479512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612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145440</xdr:rowOff>
    </xdr:from>
    <xdr:to>
      <xdr:col>15</xdr:col>
      <xdr:colOff>364680</xdr:colOff>
      <xdr:row>16</xdr:row>
      <xdr:rowOff>167400</xdr:rowOff>
    </xdr:to>
    <xdr:graphicFrame>
      <xdr:nvGraphicFramePr>
        <xdr:cNvPr id="0" name="Chart 1"/>
        <xdr:cNvGraphicFramePr/>
      </xdr:nvGraphicFramePr>
      <xdr:xfrm>
        <a:off x="5686560" y="38088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udgetTbl" displayName="BudgetTbl" ref="A4:C10" headerRowCount="1" totalsRowCount="0" totalsRowShown="0">
  <autoFilter ref="A4:C10"/>
  <tableColumns count="3">
    <tableColumn id="1" name="Cost category"/>
    <tableColumn id="2" name="Amount (CAD)"/>
    <tableColumn id="3" name="Notes"/>
  </tableColumns>
</table>
</file>

<file path=xl/tables/table2.xml><?xml version="1.0" encoding="utf-8"?>
<table xmlns="http://schemas.openxmlformats.org/spreadsheetml/2006/main" id="2" name="CommsPlanTbl" displayName="CommsPlanTbl" ref="A4:F11" headerRowCount="1" totalsRowCount="0" totalsRowShown="0">
  <autoFilter ref="A4:F11"/>
  <tableColumns count="6">
    <tableColumn id="1" name="Audience"/>
    <tableColumn id="2" name="Information"/>
    <tableColumn id="3" name="Format / channel"/>
    <tableColumn id="4" name="Frequency"/>
    <tableColumn id="5" name="Owner"/>
    <tableColumn id="6" name="Escalation route"/>
  </tableColumns>
</table>
</file>

<file path=xl/tables/table3.xml><?xml version="1.0" encoding="utf-8"?>
<table xmlns="http://schemas.openxmlformats.org/spreadsheetml/2006/main" id="3" name="RACITbl" displayName="RACITbl" ref="A4:H13" headerRowCount="1" totalsRowCount="0" totalsRowShown="0">
  <autoFilter ref="A4:H13"/>
  <tableColumns count="8">
    <tableColumn id="1" name="Activity / deliverable"/>
    <tableColumn id="2" name="Sponsor"/>
    <tableColumn id="3" name="PM (Sola)"/>
    <tableColumn id="4" name="Clinical Lead"/>
    <tableColumn id="5" name="IT Lead"/>
    <tableColumn id="6" name="Booking Lead"/>
    <tableColumn id="7" name="Vendor"/>
    <tableColumn id="8" name="Privacy Officer"/>
  </tableColumns>
</table>
</file>

<file path=xl/tables/table4.xml><?xml version="1.0" encoding="utf-8"?>
<table xmlns="http://schemas.openxmlformats.org/spreadsheetml/2006/main" id="4" name="RAIDLogTbl" displayName="RAIDLogTbl" ref="A4:J13" headerRowCount="1" totalsRowCount="0" totalsRowShown="0">
  <autoFilter ref="A4:J13"/>
  <tableColumns count="10">
    <tableColumn id="1" name="Type"/>
    <tableColumn id="2" name="ID"/>
    <tableColumn id="3" name="Description"/>
    <tableColumn id="4" name="Probability (1-5)"/>
    <tableColumn id="5" name="Impact (1-5)"/>
    <tableColumn id="6" name="Score"/>
    <tableColumn id="7" name="Owner"/>
    <tableColumn id="8" name="Response / action"/>
    <tableColumn id="9" name="Status"/>
    <tableColumn id="10" name="Review week"/>
  </tableColumns>
</table>
</file>

<file path=xl/tables/table5.xml><?xml version="1.0" encoding="utf-8"?>
<table xmlns="http://schemas.openxmlformats.org/spreadsheetml/2006/main" id="5" name="ScopeBacklogTbl" displayName="ScopeBacklogTbl" ref="A4:F14" headerRowCount="1" totalsRowCount="0" totalsRowShown="0">
  <autoFilter ref="A4:F14"/>
  <tableColumns count="6">
    <tableColumn id="1" name="ID"/>
    <tableColumn id="2" name="User story"/>
    <tableColumn id="3" name="Priority (MoSCoW)"/>
    <tableColumn id="4" name="Acceptance criteria"/>
    <tableColumn id="5" name="Release"/>
    <tableColumn id="6" name="Status"/>
  </tableColumns>
</table>
</file>

<file path=xl/tables/table6.xml><?xml version="1.0" encoding="utf-8"?>
<table xmlns="http://schemas.openxmlformats.org/spreadsheetml/2006/main" id="6" name="StakeholdersTbl" displayName="StakeholdersTbl" ref="A4:F13" headerRowCount="1" totalsRowCount="0" totalsRowShown="0">
  <autoFilter ref="A4:F13"/>
  <tableColumns count="6">
    <tableColumn id="1" name="Stakeholder"/>
    <tableColumn id="2" name="Role"/>
    <tableColumn id="3" name="Primary concern"/>
    <tableColumn id="4" name="Influence"/>
    <tableColumn id="5" name="Interest"/>
    <tableColumn id="6" name="Engagement approac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n">
        <v>21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1" customFormat="false" ht="15" hidden="false" customHeight="false" outlineLevel="0" collapsed="false">
      <c r="A11" s="3" t="s">
        <v>13</v>
      </c>
    </row>
    <row r="12" customFormat="false" ht="15" hidden="false" customHeight="false" outlineLevel="0" collapsed="false">
      <c r="A12" s="4" t="s">
        <v>14</v>
      </c>
    </row>
    <row r="13" customFormat="false" ht="15" hidden="false" customHeight="false" outlineLevel="0" collapsed="false">
      <c r="A13" s="4" t="s">
        <v>15</v>
      </c>
    </row>
    <row r="14" customFormat="false" ht="15" hidden="false" customHeight="false" outlineLevel="0" collapsed="false">
      <c r="A14" s="4" t="s">
        <v>16</v>
      </c>
    </row>
    <row r="15" customFormat="false" ht="15" hidden="false" customHeight="false" outlineLevel="0" collapsed="false">
      <c r="A15" s="4" t="s">
        <v>17</v>
      </c>
    </row>
    <row r="16" customFormat="false" ht="15" hidden="false" customHeight="false" outlineLevel="0" collapsed="false">
      <c r="A16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</cols>
  <sheetData>
    <row r="1" customFormat="false" ht="18.55" hidden="false" customHeight="false" outlineLevel="0" collapsed="false">
      <c r="A1" s="5" t="s">
        <v>19</v>
      </c>
    </row>
    <row r="2" customFormat="false" ht="15" hidden="false" customHeight="false" outlineLevel="0" collapsed="false">
      <c r="A2" s="2" t="s">
        <v>20</v>
      </c>
    </row>
    <row r="3" customFormat="false" ht="1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</row>
    <row r="4" customFormat="false" ht="15" hidden="false" customHeight="false" outlineLevel="0" collapsed="false">
      <c r="A4" s="4" t="s">
        <v>25</v>
      </c>
      <c r="B4" s="7" t="n">
        <v>402000</v>
      </c>
      <c r="C4" s="8" t="n">
        <f aca="false">Budget!B11</f>
        <v>850000</v>
      </c>
      <c r="D4" s="9" t="n">
        <f aca="false">B4/C4</f>
        <v>0.472941176470588</v>
      </c>
    </row>
    <row r="5" customFormat="false" ht="15" hidden="false" customHeight="false" outlineLevel="0" collapsed="false">
      <c r="A5" s="4" t="s">
        <v>26</v>
      </c>
      <c r="B5" s="10" t="n">
        <v>12</v>
      </c>
      <c r="C5" s="4" t="n">
        <v>21</v>
      </c>
      <c r="D5" s="9" t="n">
        <f aca="false">B5/C5</f>
        <v>0.571428571428571</v>
      </c>
    </row>
    <row r="6" customFormat="false" ht="15" hidden="false" customHeight="false" outlineLevel="0" collapsed="false">
      <c r="A6" s="4" t="s">
        <v>27</v>
      </c>
      <c r="B6" s="10" t="n">
        <v>142</v>
      </c>
      <c r="C6" s="4" t="n">
        <v>160</v>
      </c>
      <c r="D6" s="9" t="n">
        <f aca="false">B6/C6</f>
        <v>0.8875</v>
      </c>
    </row>
    <row r="7" customFormat="false" ht="15" hidden="false" customHeight="false" outlineLevel="0" collapsed="false">
      <c r="A7" s="4" t="s">
        <v>28</v>
      </c>
      <c r="B7" s="10" t="n">
        <v>0</v>
      </c>
      <c r="C7" s="4" t="n">
        <v>0</v>
      </c>
      <c r="D7" s="11" t="n">
        <f aca="false">B7-C7</f>
        <v>0</v>
      </c>
    </row>
    <row r="8" customFormat="false" ht="15" hidden="false" customHeight="false" outlineLevel="0" collapsed="false">
      <c r="A8" s="4" t="s">
        <v>29</v>
      </c>
      <c r="B8" s="10" t="n">
        <v>12</v>
      </c>
      <c r="C8" s="4" t="n">
        <v>12</v>
      </c>
      <c r="D8" s="9" t="n">
        <f aca="false">B8/C8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9" min="8" style="0" width="11"/>
    <col collapsed="false" customWidth="true" hidden="false" outlineLevel="0" max="31" min="10" style="0" width="3.2"/>
  </cols>
  <sheetData>
    <row r="1" customFormat="false" ht="17.35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B3" s="3" t="s">
        <v>31</v>
      </c>
      <c r="C3" s="12" t="n">
        <v>46027</v>
      </c>
    </row>
    <row r="5" customFormat="false" ht="26.85" hidden="false" customHeight="false" outlineLevel="0" collapsed="false">
      <c r="A5" s="6" t="s">
        <v>32</v>
      </c>
      <c r="B5" s="6" t="s">
        <v>33</v>
      </c>
      <c r="C5" s="6" t="s">
        <v>34</v>
      </c>
      <c r="D5" s="6" t="s">
        <v>35</v>
      </c>
      <c r="E5" s="6" t="s">
        <v>36</v>
      </c>
      <c r="F5" s="6" t="s">
        <v>37</v>
      </c>
      <c r="G5" s="6" t="s">
        <v>38</v>
      </c>
      <c r="H5" s="6" t="s">
        <v>39</v>
      </c>
      <c r="I5" s="6" t="s">
        <v>40</v>
      </c>
      <c r="J5" s="6" t="n">
        <v>1</v>
      </c>
      <c r="K5" s="6" t="n">
        <v>2</v>
      </c>
      <c r="L5" s="6" t="n">
        <v>3</v>
      </c>
      <c r="M5" s="6" t="n">
        <v>4</v>
      </c>
      <c r="N5" s="6" t="n">
        <v>5</v>
      </c>
      <c r="O5" s="6" t="n">
        <v>6</v>
      </c>
      <c r="P5" s="6" t="n">
        <v>7</v>
      </c>
      <c r="Q5" s="6" t="n">
        <v>8</v>
      </c>
      <c r="R5" s="6" t="n">
        <v>9</v>
      </c>
      <c r="S5" s="6" t="n">
        <v>10</v>
      </c>
      <c r="T5" s="6" t="n">
        <v>11</v>
      </c>
      <c r="U5" s="6" t="n">
        <v>12</v>
      </c>
      <c r="V5" s="6" t="n">
        <v>13</v>
      </c>
      <c r="W5" s="6" t="n">
        <v>14</v>
      </c>
      <c r="X5" s="6" t="n">
        <v>15</v>
      </c>
      <c r="Y5" s="6" t="n">
        <v>16</v>
      </c>
      <c r="Z5" s="6" t="n">
        <v>17</v>
      </c>
      <c r="AA5" s="6" t="n">
        <v>18</v>
      </c>
      <c r="AB5" s="6" t="n">
        <v>19</v>
      </c>
      <c r="AC5" s="6" t="n">
        <v>20</v>
      </c>
      <c r="AD5" s="6" t="n">
        <v>21</v>
      </c>
      <c r="AE5" s="6" t="n">
        <v>22</v>
      </c>
    </row>
    <row r="6" customFormat="false" ht="15" hidden="false" customHeight="false" outlineLevel="0" collapsed="false">
      <c r="A6" s="4" t="s">
        <v>41</v>
      </c>
      <c r="B6" s="4" t="s">
        <v>42</v>
      </c>
      <c r="C6" s="4" t="s">
        <v>43</v>
      </c>
      <c r="D6" s="4" t="s">
        <v>44</v>
      </c>
      <c r="E6" s="10" t="n">
        <v>1</v>
      </c>
      <c r="F6" s="10" t="n">
        <v>2</v>
      </c>
      <c r="G6" s="4" t="n">
        <f aca="false">E6+F6-1</f>
        <v>2</v>
      </c>
      <c r="H6" s="13" t="n">
        <f aca="false">$C$3+(E6-1)*7</f>
        <v>46027</v>
      </c>
      <c r="I6" s="13" t="n">
        <f aca="false">$C$3+G6*7-3</f>
        <v>46038</v>
      </c>
      <c r="J6" s="14" t="n">
        <f aca="false">IF(AND(J$5&gt;=$E6,J$5&lt;=$G6),1,"")</f>
        <v>1</v>
      </c>
      <c r="K6" s="14" t="n">
        <f aca="false">IF(AND(K$5&gt;=$E6,K$5&lt;=$G6),1,"")</f>
        <v>1</v>
      </c>
      <c r="L6" s="14" t="str">
        <f aca="false">IF(AND(L$5&gt;=$E6,L$5&lt;=$G6),1,"")</f>
        <v/>
      </c>
      <c r="M6" s="14" t="str">
        <f aca="false">IF(AND(M$5&gt;=$E6,M$5&lt;=$G6),1,"")</f>
        <v/>
      </c>
      <c r="N6" s="14" t="str">
        <f aca="false">IF(AND(N$5&gt;=$E6,N$5&lt;=$G6),1,"")</f>
        <v/>
      </c>
      <c r="O6" s="14" t="str">
        <f aca="false">IF(AND(O$5&gt;=$E6,O$5&lt;=$G6),1,"")</f>
        <v/>
      </c>
      <c r="P6" s="14" t="str">
        <f aca="false">IF(AND(P$5&gt;=$E6,P$5&lt;=$G6),1,"")</f>
        <v/>
      </c>
      <c r="Q6" s="14" t="str">
        <f aca="false">IF(AND(Q$5&gt;=$E6,Q$5&lt;=$G6),1,"")</f>
        <v/>
      </c>
      <c r="R6" s="14" t="str">
        <f aca="false">IF(AND(R$5&gt;=$E6,R$5&lt;=$G6),1,"")</f>
        <v/>
      </c>
      <c r="S6" s="14" t="str">
        <f aca="false">IF(AND(S$5&gt;=$E6,S$5&lt;=$G6),1,"")</f>
        <v/>
      </c>
      <c r="T6" s="14" t="str">
        <f aca="false">IF(AND(T$5&gt;=$E6,T$5&lt;=$G6),1,"")</f>
        <v/>
      </c>
      <c r="U6" s="14" t="str">
        <f aca="false">IF(AND(U$5&gt;=$E6,U$5&lt;=$G6),1,"")</f>
        <v/>
      </c>
      <c r="V6" s="14" t="str">
        <f aca="false">IF(AND(V$5&gt;=$E6,V$5&lt;=$G6),1,"")</f>
        <v/>
      </c>
      <c r="W6" s="14" t="str">
        <f aca="false">IF(AND(W$5&gt;=$E6,W$5&lt;=$G6),1,"")</f>
        <v/>
      </c>
      <c r="X6" s="14" t="str">
        <f aca="false">IF(AND(X$5&gt;=$E6,X$5&lt;=$G6),1,"")</f>
        <v/>
      </c>
      <c r="Y6" s="14" t="str">
        <f aca="false">IF(AND(Y$5&gt;=$E6,Y$5&lt;=$G6),1,"")</f>
        <v/>
      </c>
      <c r="Z6" s="14" t="str">
        <f aca="false">IF(AND(Z$5&gt;=$E6,Z$5&lt;=$G6),1,"")</f>
        <v/>
      </c>
      <c r="AA6" s="14" t="str">
        <f aca="false">IF(AND(AA$5&gt;=$E6,AA$5&lt;=$G6),1,"")</f>
        <v/>
      </c>
      <c r="AB6" s="14" t="str">
        <f aca="false">IF(AND(AB$5&gt;=$E6,AB$5&lt;=$G6),1,"")</f>
        <v/>
      </c>
      <c r="AC6" s="14" t="str">
        <f aca="false">IF(AND(AC$5&gt;=$E6,AC$5&lt;=$G6),1,"")</f>
        <v/>
      </c>
      <c r="AD6" s="14" t="str">
        <f aca="false">IF(AND(AD$5&gt;=$E6,AD$5&lt;=$G6),1,"")</f>
        <v/>
      </c>
      <c r="AE6" s="14" t="str">
        <f aca="false">IF(AND(AE$5&gt;=$E6,AE$5&lt;=$G6),1,"")</f>
        <v/>
      </c>
    </row>
    <row r="7" customFormat="false" ht="15" hidden="false" customHeight="false" outlineLevel="0" collapsed="false">
      <c r="A7" s="4" t="s">
        <v>45</v>
      </c>
      <c r="B7" s="4" t="s">
        <v>46</v>
      </c>
      <c r="C7" s="4" t="s">
        <v>47</v>
      </c>
      <c r="D7" s="4" t="s">
        <v>48</v>
      </c>
      <c r="E7" s="10" t="n">
        <v>2</v>
      </c>
      <c r="F7" s="10" t="n">
        <v>2</v>
      </c>
      <c r="G7" s="4" t="n">
        <f aca="false">E7+F7-1</f>
        <v>3</v>
      </c>
      <c r="H7" s="13" t="n">
        <f aca="false">$C$3+(E7-1)*7</f>
        <v>46034</v>
      </c>
      <c r="I7" s="13" t="n">
        <f aca="false">$C$3+G7*7-3</f>
        <v>46045</v>
      </c>
      <c r="J7" s="14" t="str">
        <f aca="false">IF(AND(J$5&gt;=$E7,J$5&lt;=$G7),1,"")</f>
        <v/>
      </c>
      <c r="K7" s="14" t="n">
        <f aca="false">IF(AND(K$5&gt;=$E7,K$5&lt;=$G7),1,"")</f>
        <v>1</v>
      </c>
      <c r="L7" s="14" t="n">
        <f aca="false">IF(AND(L$5&gt;=$E7,L$5&lt;=$G7),1,"")</f>
        <v>1</v>
      </c>
      <c r="M7" s="14" t="str">
        <f aca="false">IF(AND(M$5&gt;=$E7,M$5&lt;=$G7),1,"")</f>
        <v/>
      </c>
      <c r="N7" s="14" t="str">
        <f aca="false">IF(AND(N$5&gt;=$E7,N$5&lt;=$G7),1,"")</f>
        <v/>
      </c>
      <c r="O7" s="14" t="str">
        <f aca="false">IF(AND(O$5&gt;=$E7,O$5&lt;=$G7),1,"")</f>
        <v/>
      </c>
      <c r="P7" s="14" t="str">
        <f aca="false">IF(AND(P$5&gt;=$E7,P$5&lt;=$G7),1,"")</f>
        <v/>
      </c>
      <c r="Q7" s="14" t="str">
        <f aca="false">IF(AND(Q$5&gt;=$E7,Q$5&lt;=$G7),1,"")</f>
        <v/>
      </c>
      <c r="R7" s="14" t="str">
        <f aca="false">IF(AND(R$5&gt;=$E7,R$5&lt;=$G7),1,"")</f>
        <v/>
      </c>
      <c r="S7" s="14" t="str">
        <f aca="false">IF(AND(S$5&gt;=$E7,S$5&lt;=$G7),1,"")</f>
        <v/>
      </c>
      <c r="T7" s="14" t="str">
        <f aca="false">IF(AND(T$5&gt;=$E7,T$5&lt;=$G7),1,"")</f>
        <v/>
      </c>
      <c r="U7" s="14" t="str">
        <f aca="false">IF(AND(U$5&gt;=$E7,U$5&lt;=$G7),1,"")</f>
        <v/>
      </c>
      <c r="V7" s="14" t="str">
        <f aca="false">IF(AND(V$5&gt;=$E7,V$5&lt;=$G7),1,"")</f>
        <v/>
      </c>
      <c r="W7" s="14" t="str">
        <f aca="false">IF(AND(W$5&gt;=$E7,W$5&lt;=$G7),1,"")</f>
        <v/>
      </c>
      <c r="X7" s="14" t="str">
        <f aca="false">IF(AND(X$5&gt;=$E7,X$5&lt;=$G7),1,"")</f>
        <v/>
      </c>
      <c r="Y7" s="14" t="str">
        <f aca="false">IF(AND(Y$5&gt;=$E7,Y$5&lt;=$G7),1,"")</f>
        <v/>
      </c>
      <c r="Z7" s="14" t="str">
        <f aca="false">IF(AND(Z$5&gt;=$E7,Z$5&lt;=$G7),1,"")</f>
        <v/>
      </c>
      <c r="AA7" s="14" t="str">
        <f aca="false">IF(AND(AA$5&gt;=$E7,AA$5&lt;=$G7),1,"")</f>
        <v/>
      </c>
      <c r="AB7" s="14" t="str">
        <f aca="false">IF(AND(AB$5&gt;=$E7,AB$5&lt;=$G7),1,"")</f>
        <v/>
      </c>
      <c r="AC7" s="14" t="str">
        <f aca="false">IF(AND(AC$5&gt;=$E7,AC$5&lt;=$G7),1,"")</f>
        <v/>
      </c>
      <c r="AD7" s="14" t="str">
        <f aca="false">IF(AND(AD$5&gt;=$E7,AD$5&lt;=$G7),1,"")</f>
        <v/>
      </c>
      <c r="AE7" s="14" t="str">
        <f aca="false">IF(AND(AE$5&gt;=$E7,AE$5&lt;=$G7),1,"")</f>
        <v/>
      </c>
    </row>
    <row r="8" customFormat="false" ht="15" hidden="false" customHeight="false" outlineLevel="0" collapsed="false">
      <c r="A8" s="4" t="s">
        <v>49</v>
      </c>
      <c r="B8" s="4" t="s">
        <v>46</v>
      </c>
      <c r="C8" s="4" t="s">
        <v>50</v>
      </c>
      <c r="D8" s="4" t="s">
        <v>51</v>
      </c>
      <c r="E8" s="10" t="n">
        <v>3</v>
      </c>
      <c r="F8" s="10" t="n">
        <v>4</v>
      </c>
      <c r="G8" s="4" t="n">
        <f aca="false">E8+F8-1</f>
        <v>6</v>
      </c>
      <c r="H8" s="13" t="n">
        <f aca="false">$C$3+(E8-1)*7</f>
        <v>46041</v>
      </c>
      <c r="I8" s="13" t="n">
        <f aca="false">$C$3+G8*7-3</f>
        <v>46066</v>
      </c>
      <c r="J8" s="14" t="str">
        <f aca="false">IF(AND(J$5&gt;=$E8,J$5&lt;=$G8),1,"")</f>
        <v/>
      </c>
      <c r="K8" s="14" t="str">
        <f aca="false">IF(AND(K$5&gt;=$E8,K$5&lt;=$G8),1,"")</f>
        <v/>
      </c>
      <c r="L8" s="14" t="n">
        <f aca="false">IF(AND(L$5&gt;=$E8,L$5&lt;=$G8),1,"")</f>
        <v>1</v>
      </c>
      <c r="M8" s="14" t="n">
        <f aca="false">IF(AND(M$5&gt;=$E8,M$5&lt;=$G8),1,"")</f>
        <v>1</v>
      </c>
      <c r="N8" s="14" t="n">
        <f aca="false">IF(AND(N$5&gt;=$E8,N$5&lt;=$G8),1,"")</f>
        <v>1</v>
      </c>
      <c r="O8" s="14" t="n">
        <f aca="false">IF(AND(O$5&gt;=$E8,O$5&lt;=$G8),1,"")</f>
        <v>1</v>
      </c>
      <c r="P8" s="14" t="str">
        <f aca="false">IF(AND(P$5&gt;=$E8,P$5&lt;=$G8),1,"")</f>
        <v/>
      </c>
      <c r="Q8" s="14" t="str">
        <f aca="false">IF(AND(Q$5&gt;=$E8,Q$5&lt;=$G8),1,"")</f>
        <v/>
      </c>
      <c r="R8" s="14" t="str">
        <f aca="false">IF(AND(R$5&gt;=$E8,R$5&lt;=$G8),1,"")</f>
        <v/>
      </c>
      <c r="S8" s="14" t="str">
        <f aca="false">IF(AND(S$5&gt;=$E8,S$5&lt;=$G8),1,"")</f>
        <v/>
      </c>
      <c r="T8" s="14" t="str">
        <f aca="false">IF(AND(T$5&gt;=$E8,T$5&lt;=$G8),1,"")</f>
        <v/>
      </c>
      <c r="U8" s="14" t="str">
        <f aca="false">IF(AND(U$5&gt;=$E8,U$5&lt;=$G8),1,"")</f>
        <v/>
      </c>
      <c r="V8" s="14" t="str">
        <f aca="false">IF(AND(V$5&gt;=$E8,V$5&lt;=$G8),1,"")</f>
        <v/>
      </c>
      <c r="W8" s="14" t="str">
        <f aca="false">IF(AND(W$5&gt;=$E8,W$5&lt;=$G8),1,"")</f>
        <v/>
      </c>
      <c r="X8" s="14" t="str">
        <f aca="false">IF(AND(X$5&gt;=$E8,X$5&lt;=$G8),1,"")</f>
        <v/>
      </c>
      <c r="Y8" s="14" t="str">
        <f aca="false">IF(AND(Y$5&gt;=$E8,Y$5&lt;=$G8),1,"")</f>
        <v/>
      </c>
      <c r="Z8" s="14" t="str">
        <f aca="false">IF(AND(Z$5&gt;=$E8,Z$5&lt;=$G8),1,"")</f>
        <v/>
      </c>
      <c r="AA8" s="14" t="str">
        <f aca="false">IF(AND(AA$5&gt;=$E8,AA$5&lt;=$G8),1,"")</f>
        <v/>
      </c>
      <c r="AB8" s="14" t="str">
        <f aca="false">IF(AND(AB$5&gt;=$E8,AB$5&lt;=$G8),1,"")</f>
        <v/>
      </c>
      <c r="AC8" s="14" t="str">
        <f aca="false">IF(AND(AC$5&gt;=$E8,AC$5&lt;=$G8),1,"")</f>
        <v/>
      </c>
      <c r="AD8" s="14" t="str">
        <f aca="false">IF(AND(AD$5&gt;=$E8,AD$5&lt;=$G8),1,"")</f>
        <v/>
      </c>
      <c r="AE8" s="14" t="str">
        <f aca="false">IF(AND(AE$5&gt;=$E8,AE$5&lt;=$G8),1,"")</f>
        <v/>
      </c>
    </row>
    <row r="9" customFormat="false" ht="15" hidden="false" customHeight="false" outlineLevel="0" collapsed="false">
      <c r="A9" s="4" t="s">
        <v>52</v>
      </c>
      <c r="B9" s="4" t="s">
        <v>53</v>
      </c>
      <c r="C9" s="4" t="s">
        <v>54</v>
      </c>
      <c r="D9" s="4" t="s">
        <v>55</v>
      </c>
      <c r="E9" s="10" t="n">
        <v>4</v>
      </c>
      <c r="F9" s="10" t="n">
        <v>3</v>
      </c>
      <c r="G9" s="4" t="n">
        <f aca="false">E9+F9-1</f>
        <v>6</v>
      </c>
      <c r="H9" s="13" t="n">
        <f aca="false">$C$3+(E9-1)*7</f>
        <v>46048</v>
      </c>
      <c r="I9" s="13" t="n">
        <f aca="false">$C$3+G9*7-3</f>
        <v>46066</v>
      </c>
      <c r="J9" s="14" t="str">
        <f aca="false">IF(AND(J$5&gt;=$E9,J$5&lt;=$G9),1,"")</f>
        <v/>
      </c>
      <c r="K9" s="14" t="str">
        <f aca="false">IF(AND(K$5&gt;=$E9,K$5&lt;=$G9),1,"")</f>
        <v/>
      </c>
      <c r="L9" s="14" t="str">
        <f aca="false">IF(AND(L$5&gt;=$E9,L$5&lt;=$G9),1,"")</f>
        <v/>
      </c>
      <c r="M9" s="14" t="n">
        <f aca="false">IF(AND(M$5&gt;=$E9,M$5&lt;=$G9),1,"")</f>
        <v>1</v>
      </c>
      <c r="N9" s="14" t="n">
        <f aca="false">IF(AND(N$5&gt;=$E9,N$5&lt;=$G9),1,"")</f>
        <v>1</v>
      </c>
      <c r="O9" s="14" t="n">
        <f aca="false">IF(AND(O$5&gt;=$E9,O$5&lt;=$G9),1,"")</f>
        <v>1</v>
      </c>
      <c r="P9" s="14" t="str">
        <f aca="false">IF(AND(P$5&gt;=$E9,P$5&lt;=$G9),1,"")</f>
        <v/>
      </c>
      <c r="Q9" s="14" t="str">
        <f aca="false">IF(AND(Q$5&gt;=$E9,Q$5&lt;=$G9),1,"")</f>
        <v/>
      </c>
      <c r="R9" s="14" t="str">
        <f aca="false">IF(AND(R$5&gt;=$E9,R$5&lt;=$G9),1,"")</f>
        <v/>
      </c>
      <c r="S9" s="14" t="str">
        <f aca="false">IF(AND(S$5&gt;=$E9,S$5&lt;=$G9),1,"")</f>
        <v/>
      </c>
      <c r="T9" s="14" t="str">
        <f aca="false">IF(AND(T$5&gt;=$E9,T$5&lt;=$G9),1,"")</f>
        <v/>
      </c>
      <c r="U9" s="14" t="str">
        <f aca="false">IF(AND(U$5&gt;=$E9,U$5&lt;=$G9),1,"")</f>
        <v/>
      </c>
      <c r="V9" s="14" t="str">
        <f aca="false">IF(AND(V$5&gt;=$E9,V$5&lt;=$G9),1,"")</f>
        <v/>
      </c>
      <c r="W9" s="14" t="str">
        <f aca="false">IF(AND(W$5&gt;=$E9,W$5&lt;=$G9),1,"")</f>
        <v/>
      </c>
      <c r="X9" s="14" t="str">
        <f aca="false">IF(AND(X$5&gt;=$E9,X$5&lt;=$G9),1,"")</f>
        <v/>
      </c>
      <c r="Y9" s="14" t="str">
        <f aca="false">IF(AND(Y$5&gt;=$E9,Y$5&lt;=$G9),1,"")</f>
        <v/>
      </c>
      <c r="Z9" s="14" t="str">
        <f aca="false">IF(AND(Z$5&gt;=$E9,Z$5&lt;=$G9),1,"")</f>
        <v/>
      </c>
      <c r="AA9" s="14" t="str">
        <f aca="false">IF(AND(AA$5&gt;=$E9,AA$5&lt;=$G9),1,"")</f>
        <v/>
      </c>
      <c r="AB9" s="14" t="str">
        <f aca="false">IF(AND(AB$5&gt;=$E9,AB$5&lt;=$G9),1,"")</f>
        <v/>
      </c>
      <c r="AC9" s="14" t="str">
        <f aca="false">IF(AND(AC$5&gt;=$E9,AC$5&lt;=$G9),1,"")</f>
        <v/>
      </c>
      <c r="AD9" s="14" t="str">
        <f aca="false">IF(AND(AD$5&gt;=$E9,AD$5&lt;=$G9),1,"")</f>
        <v/>
      </c>
      <c r="AE9" s="14" t="str">
        <f aca="false">IF(AND(AE$5&gt;=$E9,AE$5&lt;=$G9),1,"")</f>
        <v/>
      </c>
    </row>
    <row r="10" customFormat="false" ht="15" hidden="false" customHeight="false" outlineLevel="0" collapsed="false">
      <c r="A10" s="4" t="s">
        <v>56</v>
      </c>
      <c r="B10" s="4" t="s">
        <v>53</v>
      </c>
      <c r="C10" s="4" t="s">
        <v>57</v>
      </c>
      <c r="D10" s="4" t="s">
        <v>55</v>
      </c>
      <c r="E10" s="10" t="n">
        <v>7</v>
      </c>
      <c r="F10" s="10" t="n">
        <v>6</v>
      </c>
      <c r="G10" s="4" t="n">
        <f aca="false">E10+F10-1</f>
        <v>12</v>
      </c>
      <c r="H10" s="13" t="n">
        <f aca="false">$C$3+(E10-1)*7</f>
        <v>46069</v>
      </c>
      <c r="I10" s="13" t="n">
        <f aca="false">$C$3+G10*7-3</f>
        <v>46108</v>
      </c>
      <c r="J10" s="14" t="str">
        <f aca="false">IF(AND(J$5&gt;=$E10,J$5&lt;=$G10),1,"")</f>
        <v/>
      </c>
      <c r="K10" s="14" t="str">
        <f aca="false">IF(AND(K$5&gt;=$E10,K$5&lt;=$G10),1,"")</f>
        <v/>
      </c>
      <c r="L10" s="14" t="str">
        <f aca="false">IF(AND(L$5&gt;=$E10,L$5&lt;=$G10),1,"")</f>
        <v/>
      </c>
      <c r="M10" s="14" t="str">
        <f aca="false">IF(AND(M$5&gt;=$E10,M$5&lt;=$G10),1,"")</f>
        <v/>
      </c>
      <c r="N10" s="14" t="str">
        <f aca="false">IF(AND(N$5&gt;=$E10,N$5&lt;=$G10),1,"")</f>
        <v/>
      </c>
      <c r="O10" s="14" t="str">
        <f aca="false">IF(AND(O$5&gt;=$E10,O$5&lt;=$G10),1,"")</f>
        <v/>
      </c>
      <c r="P10" s="14" t="n">
        <f aca="false">IF(AND(P$5&gt;=$E10,P$5&lt;=$G10),1,"")</f>
        <v>1</v>
      </c>
      <c r="Q10" s="14" t="n">
        <f aca="false">IF(AND(Q$5&gt;=$E10,Q$5&lt;=$G10),1,"")</f>
        <v>1</v>
      </c>
      <c r="R10" s="14" t="n">
        <f aca="false">IF(AND(R$5&gt;=$E10,R$5&lt;=$G10),1,"")</f>
        <v>1</v>
      </c>
      <c r="S10" s="14" t="n">
        <f aca="false">IF(AND(S$5&gt;=$E10,S$5&lt;=$G10),1,"")</f>
        <v>1</v>
      </c>
      <c r="T10" s="14" t="n">
        <f aca="false">IF(AND(T$5&gt;=$E10,T$5&lt;=$G10),1,"")</f>
        <v>1</v>
      </c>
      <c r="U10" s="14" t="n">
        <f aca="false">IF(AND(U$5&gt;=$E10,U$5&lt;=$G10),1,"")</f>
        <v>1</v>
      </c>
      <c r="V10" s="14" t="str">
        <f aca="false">IF(AND(V$5&gt;=$E10,V$5&lt;=$G10),1,"")</f>
        <v/>
      </c>
      <c r="W10" s="14" t="str">
        <f aca="false">IF(AND(W$5&gt;=$E10,W$5&lt;=$G10),1,"")</f>
        <v/>
      </c>
      <c r="X10" s="14" t="str">
        <f aca="false">IF(AND(X$5&gt;=$E10,X$5&lt;=$G10),1,"")</f>
        <v/>
      </c>
      <c r="Y10" s="14" t="str">
        <f aca="false">IF(AND(Y$5&gt;=$E10,Y$5&lt;=$G10),1,"")</f>
        <v/>
      </c>
      <c r="Z10" s="14" t="str">
        <f aca="false">IF(AND(Z$5&gt;=$E10,Z$5&lt;=$G10),1,"")</f>
        <v/>
      </c>
      <c r="AA10" s="14" t="str">
        <f aca="false">IF(AND(AA$5&gt;=$E10,AA$5&lt;=$G10),1,"")</f>
        <v/>
      </c>
      <c r="AB10" s="14" t="str">
        <f aca="false">IF(AND(AB$5&gt;=$E10,AB$5&lt;=$G10),1,"")</f>
        <v/>
      </c>
      <c r="AC10" s="14" t="str">
        <f aca="false">IF(AND(AC$5&gt;=$E10,AC$5&lt;=$G10),1,"")</f>
        <v/>
      </c>
      <c r="AD10" s="14" t="str">
        <f aca="false">IF(AND(AD$5&gt;=$E10,AD$5&lt;=$G10),1,"")</f>
        <v/>
      </c>
      <c r="AE10" s="14" t="str">
        <f aca="false">IF(AND(AE$5&gt;=$E10,AE$5&lt;=$G10),1,"")</f>
        <v/>
      </c>
    </row>
    <row r="11" customFormat="false" ht="15" hidden="false" customHeight="false" outlineLevel="0" collapsed="false">
      <c r="A11" s="4" t="s">
        <v>58</v>
      </c>
      <c r="B11" s="4" t="s">
        <v>53</v>
      </c>
      <c r="C11" s="4" t="s">
        <v>59</v>
      </c>
      <c r="D11" s="4" t="s">
        <v>60</v>
      </c>
      <c r="E11" s="10" t="n">
        <v>7</v>
      </c>
      <c r="F11" s="10" t="n">
        <v>4</v>
      </c>
      <c r="G11" s="4" t="n">
        <f aca="false">E11+F11-1</f>
        <v>10</v>
      </c>
      <c r="H11" s="13" t="n">
        <f aca="false">$C$3+(E11-1)*7</f>
        <v>46069</v>
      </c>
      <c r="I11" s="13" t="n">
        <f aca="false">$C$3+G11*7-3</f>
        <v>46094</v>
      </c>
      <c r="J11" s="14" t="str">
        <f aca="false">IF(AND(J$5&gt;=$E11,J$5&lt;=$G11),1,"")</f>
        <v/>
      </c>
      <c r="K11" s="14" t="str">
        <f aca="false">IF(AND(K$5&gt;=$E11,K$5&lt;=$G11),1,"")</f>
        <v/>
      </c>
      <c r="L11" s="14" t="str">
        <f aca="false">IF(AND(L$5&gt;=$E11,L$5&lt;=$G11),1,"")</f>
        <v/>
      </c>
      <c r="M11" s="14" t="str">
        <f aca="false">IF(AND(M$5&gt;=$E11,M$5&lt;=$G11),1,"")</f>
        <v/>
      </c>
      <c r="N11" s="14" t="str">
        <f aca="false">IF(AND(N$5&gt;=$E11,N$5&lt;=$G11),1,"")</f>
        <v/>
      </c>
      <c r="O11" s="14" t="str">
        <f aca="false">IF(AND(O$5&gt;=$E11,O$5&lt;=$G11),1,"")</f>
        <v/>
      </c>
      <c r="P11" s="14" t="n">
        <f aca="false">IF(AND(P$5&gt;=$E11,P$5&lt;=$G11),1,"")</f>
        <v>1</v>
      </c>
      <c r="Q11" s="14" t="n">
        <f aca="false">IF(AND(Q$5&gt;=$E11,Q$5&lt;=$G11),1,"")</f>
        <v>1</v>
      </c>
      <c r="R11" s="14" t="n">
        <f aca="false">IF(AND(R$5&gt;=$E11,R$5&lt;=$G11),1,"")</f>
        <v>1</v>
      </c>
      <c r="S11" s="14" t="n">
        <f aca="false">IF(AND(S$5&gt;=$E11,S$5&lt;=$G11),1,"")</f>
        <v>1</v>
      </c>
      <c r="T11" s="14" t="str">
        <f aca="false">IF(AND(T$5&gt;=$E11,T$5&lt;=$G11),1,"")</f>
        <v/>
      </c>
      <c r="U11" s="14" t="str">
        <f aca="false">IF(AND(U$5&gt;=$E11,U$5&lt;=$G11),1,"")</f>
        <v/>
      </c>
      <c r="V11" s="14" t="str">
        <f aca="false">IF(AND(V$5&gt;=$E11,V$5&lt;=$G11),1,"")</f>
        <v/>
      </c>
      <c r="W11" s="14" t="str">
        <f aca="false">IF(AND(W$5&gt;=$E11,W$5&lt;=$G11),1,"")</f>
        <v/>
      </c>
      <c r="X11" s="14" t="str">
        <f aca="false">IF(AND(X$5&gt;=$E11,X$5&lt;=$G11),1,"")</f>
        <v/>
      </c>
      <c r="Y11" s="14" t="str">
        <f aca="false">IF(AND(Y$5&gt;=$E11,Y$5&lt;=$G11),1,"")</f>
        <v/>
      </c>
      <c r="Z11" s="14" t="str">
        <f aca="false">IF(AND(Z$5&gt;=$E11,Z$5&lt;=$G11),1,"")</f>
        <v/>
      </c>
      <c r="AA11" s="14" t="str">
        <f aca="false">IF(AND(AA$5&gt;=$E11,AA$5&lt;=$G11),1,"")</f>
        <v/>
      </c>
      <c r="AB11" s="14" t="str">
        <f aca="false">IF(AND(AB$5&gt;=$E11,AB$5&lt;=$G11),1,"")</f>
        <v/>
      </c>
      <c r="AC11" s="14" t="str">
        <f aca="false">IF(AND(AC$5&gt;=$E11,AC$5&lt;=$G11),1,"")</f>
        <v/>
      </c>
      <c r="AD11" s="14" t="str">
        <f aca="false">IF(AND(AD$5&gt;=$E11,AD$5&lt;=$G11),1,"")</f>
        <v/>
      </c>
      <c r="AE11" s="14" t="str">
        <f aca="false">IF(AND(AE$5&gt;=$E11,AE$5&lt;=$G11),1,"")</f>
        <v/>
      </c>
    </row>
    <row r="12" customFormat="false" ht="15" hidden="false" customHeight="false" outlineLevel="0" collapsed="false">
      <c r="A12" s="4" t="s">
        <v>61</v>
      </c>
      <c r="B12" s="4" t="s">
        <v>62</v>
      </c>
      <c r="C12" s="4" t="s">
        <v>63</v>
      </c>
      <c r="D12" s="4" t="s">
        <v>60</v>
      </c>
      <c r="E12" s="10" t="n">
        <v>9</v>
      </c>
      <c r="F12" s="10" t="n">
        <v>4</v>
      </c>
      <c r="G12" s="4" t="n">
        <f aca="false">E12+F12-1</f>
        <v>12</v>
      </c>
      <c r="H12" s="13" t="n">
        <f aca="false">$C$3+(E12-1)*7</f>
        <v>46083</v>
      </c>
      <c r="I12" s="13" t="n">
        <f aca="false">$C$3+G12*7-3</f>
        <v>46108</v>
      </c>
      <c r="J12" s="14" t="str">
        <f aca="false">IF(AND(J$5&gt;=$E12,J$5&lt;=$G12),1,"")</f>
        <v/>
      </c>
      <c r="K12" s="14" t="str">
        <f aca="false">IF(AND(K$5&gt;=$E12,K$5&lt;=$G12),1,"")</f>
        <v/>
      </c>
      <c r="L12" s="14" t="str">
        <f aca="false">IF(AND(L$5&gt;=$E12,L$5&lt;=$G12),1,"")</f>
        <v/>
      </c>
      <c r="M12" s="14" t="str">
        <f aca="false">IF(AND(M$5&gt;=$E12,M$5&lt;=$G12),1,"")</f>
        <v/>
      </c>
      <c r="N12" s="14" t="str">
        <f aca="false">IF(AND(N$5&gt;=$E12,N$5&lt;=$G12),1,"")</f>
        <v/>
      </c>
      <c r="O12" s="14" t="str">
        <f aca="false">IF(AND(O$5&gt;=$E12,O$5&lt;=$G12),1,"")</f>
        <v/>
      </c>
      <c r="P12" s="14" t="str">
        <f aca="false">IF(AND(P$5&gt;=$E12,P$5&lt;=$G12),1,"")</f>
        <v/>
      </c>
      <c r="Q12" s="14" t="str">
        <f aca="false">IF(AND(Q$5&gt;=$E12,Q$5&lt;=$G12),1,"")</f>
        <v/>
      </c>
      <c r="R12" s="14" t="n">
        <f aca="false">IF(AND(R$5&gt;=$E12,R$5&lt;=$G12),1,"")</f>
        <v>1</v>
      </c>
      <c r="S12" s="14" t="n">
        <f aca="false">IF(AND(S$5&gt;=$E12,S$5&lt;=$G12),1,"")</f>
        <v>1</v>
      </c>
      <c r="T12" s="14" t="n">
        <f aca="false">IF(AND(T$5&gt;=$E12,T$5&lt;=$G12),1,"")</f>
        <v>1</v>
      </c>
      <c r="U12" s="14" t="n">
        <f aca="false">IF(AND(U$5&gt;=$E12,U$5&lt;=$G12),1,"")</f>
        <v>1</v>
      </c>
      <c r="V12" s="14" t="str">
        <f aca="false">IF(AND(V$5&gt;=$E12,V$5&lt;=$G12),1,"")</f>
        <v/>
      </c>
      <c r="W12" s="14" t="str">
        <f aca="false">IF(AND(W$5&gt;=$E12,W$5&lt;=$G12),1,"")</f>
        <v/>
      </c>
      <c r="X12" s="14" t="str">
        <f aca="false">IF(AND(X$5&gt;=$E12,X$5&lt;=$G12),1,"")</f>
        <v/>
      </c>
      <c r="Y12" s="14" t="str">
        <f aca="false">IF(AND(Y$5&gt;=$E12,Y$5&lt;=$G12),1,"")</f>
        <v/>
      </c>
      <c r="Z12" s="14" t="str">
        <f aca="false">IF(AND(Z$5&gt;=$E12,Z$5&lt;=$G12),1,"")</f>
        <v/>
      </c>
      <c r="AA12" s="14" t="str">
        <f aca="false">IF(AND(AA$5&gt;=$E12,AA$5&lt;=$G12),1,"")</f>
        <v/>
      </c>
      <c r="AB12" s="14" t="str">
        <f aca="false">IF(AND(AB$5&gt;=$E12,AB$5&lt;=$G12),1,"")</f>
        <v/>
      </c>
      <c r="AC12" s="14" t="str">
        <f aca="false">IF(AND(AC$5&gt;=$E12,AC$5&lt;=$G12),1,"")</f>
        <v/>
      </c>
      <c r="AD12" s="14" t="str">
        <f aca="false">IF(AND(AD$5&gt;=$E12,AD$5&lt;=$G12),1,"")</f>
        <v/>
      </c>
      <c r="AE12" s="14" t="str">
        <f aca="false">IF(AND(AE$5&gt;=$E12,AE$5&lt;=$G12),1,"")</f>
        <v/>
      </c>
    </row>
    <row r="13" customFormat="false" ht="15" hidden="false" customHeight="false" outlineLevel="0" collapsed="false">
      <c r="A13" s="4" t="s">
        <v>64</v>
      </c>
      <c r="B13" s="4" t="s">
        <v>65</v>
      </c>
      <c r="C13" s="4" t="s">
        <v>66</v>
      </c>
      <c r="D13" s="4" t="s">
        <v>60</v>
      </c>
      <c r="E13" s="10" t="n">
        <v>11</v>
      </c>
      <c r="F13" s="10" t="n">
        <v>3</v>
      </c>
      <c r="G13" s="4" t="n">
        <f aca="false">E13+F13-1</f>
        <v>13</v>
      </c>
      <c r="H13" s="13" t="n">
        <f aca="false">$C$3+(E13-1)*7</f>
        <v>46097</v>
      </c>
      <c r="I13" s="13" t="n">
        <f aca="false">$C$3+G13*7-3</f>
        <v>46115</v>
      </c>
      <c r="J13" s="14" t="str">
        <f aca="false">IF(AND(J$5&gt;=$E13,J$5&lt;=$G13),1,"")</f>
        <v/>
      </c>
      <c r="K13" s="14" t="str">
        <f aca="false">IF(AND(K$5&gt;=$E13,K$5&lt;=$G13),1,"")</f>
        <v/>
      </c>
      <c r="L13" s="14" t="str">
        <f aca="false">IF(AND(L$5&gt;=$E13,L$5&lt;=$G13),1,"")</f>
        <v/>
      </c>
      <c r="M13" s="14" t="str">
        <f aca="false">IF(AND(M$5&gt;=$E13,M$5&lt;=$G13),1,"")</f>
        <v/>
      </c>
      <c r="N13" s="14" t="str">
        <f aca="false">IF(AND(N$5&gt;=$E13,N$5&lt;=$G13),1,"")</f>
        <v/>
      </c>
      <c r="O13" s="14" t="str">
        <f aca="false">IF(AND(O$5&gt;=$E13,O$5&lt;=$G13),1,"")</f>
        <v/>
      </c>
      <c r="P13" s="14" t="str">
        <f aca="false">IF(AND(P$5&gt;=$E13,P$5&lt;=$G13),1,"")</f>
        <v/>
      </c>
      <c r="Q13" s="14" t="str">
        <f aca="false">IF(AND(Q$5&gt;=$E13,Q$5&lt;=$G13),1,"")</f>
        <v/>
      </c>
      <c r="R13" s="14" t="str">
        <f aca="false">IF(AND(R$5&gt;=$E13,R$5&lt;=$G13),1,"")</f>
        <v/>
      </c>
      <c r="S13" s="14" t="str">
        <f aca="false">IF(AND(S$5&gt;=$E13,S$5&lt;=$G13),1,"")</f>
        <v/>
      </c>
      <c r="T13" s="14" t="n">
        <f aca="false">IF(AND(T$5&gt;=$E13,T$5&lt;=$G13),1,"")</f>
        <v>1</v>
      </c>
      <c r="U13" s="14" t="n">
        <f aca="false">IF(AND(U$5&gt;=$E13,U$5&lt;=$G13),1,"")</f>
        <v>1</v>
      </c>
      <c r="V13" s="14" t="n">
        <f aca="false">IF(AND(V$5&gt;=$E13,V$5&lt;=$G13),1,"")</f>
        <v>1</v>
      </c>
      <c r="W13" s="14" t="str">
        <f aca="false">IF(AND(W$5&gt;=$E13,W$5&lt;=$G13),1,"")</f>
        <v/>
      </c>
      <c r="X13" s="14" t="str">
        <f aca="false">IF(AND(X$5&gt;=$E13,X$5&lt;=$G13),1,"")</f>
        <v/>
      </c>
      <c r="Y13" s="14" t="str">
        <f aca="false">IF(AND(Y$5&gt;=$E13,Y$5&lt;=$G13),1,"")</f>
        <v/>
      </c>
      <c r="Z13" s="14" t="str">
        <f aca="false">IF(AND(Z$5&gt;=$E13,Z$5&lt;=$G13),1,"")</f>
        <v/>
      </c>
      <c r="AA13" s="14" t="str">
        <f aca="false">IF(AND(AA$5&gt;=$E13,AA$5&lt;=$G13),1,"")</f>
        <v/>
      </c>
      <c r="AB13" s="14" t="str">
        <f aca="false">IF(AND(AB$5&gt;=$E13,AB$5&lt;=$G13),1,"")</f>
        <v/>
      </c>
      <c r="AC13" s="14" t="str">
        <f aca="false">IF(AND(AC$5&gt;=$E13,AC$5&lt;=$G13),1,"")</f>
        <v/>
      </c>
      <c r="AD13" s="14" t="str">
        <f aca="false">IF(AND(AD$5&gt;=$E13,AD$5&lt;=$G13),1,"")</f>
        <v/>
      </c>
      <c r="AE13" s="14" t="str">
        <f aca="false">IF(AND(AE$5&gt;=$E13,AE$5&lt;=$G13),1,"")</f>
        <v/>
      </c>
    </row>
    <row r="14" customFormat="false" ht="15" hidden="false" customHeight="false" outlineLevel="0" collapsed="false">
      <c r="A14" s="4" t="s">
        <v>67</v>
      </c>
      <c r="B14" s="4" t="s">
        <v>65</v>
      </c>
      <c r="C14" s="4" t="s">
        <v>68</v>
      </c>
      <c r="D14" s="4" t="s">
        <v>48</v>
      </c>
      <c r="E14" s="10" t="n">
        <v>14</v>
      </c>
      <c r="F14" s="10" t="n">
        <v>3</v>
      </c>
      <c r="G14" s="4" t="n">
        <f aca="false">E14+F14-1</f>
        <v>16</v>
      </c>
      <c r="H14" s="13" t="n">
        <f aca="false">$C$3+(E14-1)*7</f>
        <v>46118</v>
      </c>
      <c r="I14" s="13" t="n">
        <f aca="false">$C$3+G14*7-3</f>
        <v>46136</v>
      </c>
      <c r="J14" s="14" t="str">
        <f aca="false">IF(AND(J$5&gt;=$E14,J$5&lt;=$G14),1,"")</f>
        <v/>
      </c>
      <c r="K14" s="14" t="str">
        <f aca="false">IF(AND(K$5&gt;=$E14,K$5&lt;=$G14),1,"")</f>
        <v/>
      </c>
      <c r="L14" s="14" t="str">
        <f aca="false">IF(AND(L$5&gt;=$E14,L$5&lt;=$G14),1,"")</f>
        <v/>
      </c>
      <c r="M14" s="14" t="str">
        <f aca="false">IF(AND(M$5&gt;=$E14,M$5&lt;=$G14),1,"")</f>
        <v/>
      </c>
      <c r="N14" s="14" t="str">
        <f aca="false">IF(AND(N$5&gt;=$E14,N$5&lt;=$G14),1,"")</f>
        <v/>
      </c>
      <c r="O14" s="14" t="str">
        <f aca="false">IF(AND(O$5&gt;=$E14,O$5&lt;=$G14),1,"")</f>
        <v/>
      </c>
      <c r="P14" s="14" t="str">
        <f aca="false">IF(AND(P$5&gt;=$E14,P$5&lt;=$G14),1,"")</f>
        <v/>
      </c>
      <c r="Q14" s="14" t="str">
        <f aca="false">IF(AND(Q$5&gt;=$E14,Q$5&lt;=$G14),1,"")</f>
        <v/>
      </c>
      <c r="R14" s="14" t="str">
        <f aca="false">IF(AND(R$5&gt;=$E14,R$5&lt;=$G14),1,"")</f>
        <v/>
      </c>
      <c r="S14" s="14" t="str">
        <f aca="false">IF(AND(S$5&gt;=$E14,S$5&lt;=$G14),1,"")</f>
        <v/>
      </c>
      <c r="T14" s="14" t="str">
        <f aca="false">IF(AND(T$5&gt;=$E14,T$5&lt;=$G14),1,"")</f>
        <v/>
      </c>
      <c r="U14" s="14" t="str">
        <f aca="false">IF(AND(U$5&gt;=$E14,U$5&lt;=$G14),1,"")</f>
        <v/>
      </c>
      <c r="V14" s="14" t="str">
        <f aca="false">IF(AND(V$5&gt;=$E14,V$5&lt;=$G14),1,"")</f>
        <v/>
      </c>
      <c r="W14" s="14" t="n">
        <f aca="false">IF(AND(W$5&gt;=$E14,W$5&lt;=$G14),1,"")</f>
        <v>1</v>
      </c>
      <c r="X14" s="14" t="n">
        <f aca="false">IF(AND(X$5&gt;=$E14,X$5&lt;=$G14),1,"")</f>
        <v>1</v>
      </c>
      <c r="Y14" s="14" t="n">
        <f aca="false">IF(AND(Y$5&gt;=$E14,Y$5&lt;=$G14),1,"")</f>
        <v>1</v>
      </c>
      <c r="Z14" s="14" t="str">
        <f aca="false">IF(AND(Z$5&gt;=$E14,Z$5&lt;=$G14),1,"")</f>
        <v/>
      </c>
      <c r="AA14" s="14" t="str">
        <f aca="false">IF(AND(AA$5&gt;=$E14,AA$5&lt;=$G14),1,"")</f>
        <v/>
      </c>
      <c r="AB14" s="14" t="str">
        <f aca="false">IF(AND(AB$5&gt;=$E14,AB$5&lt;=$G14),1,"")</f>
        <v/>
      </c>
      <c r="AC14" s="14" t="str">
        <f aca="false">IF(AND(AC$5&gt;=$E14,AC$5&lt;=$G14),1,"")</f>
        <v/>
      </c>
      <c r="AD14" s="14" t="str">
        <f aca="false">IF(AND(AD$5&gt;=$E14,AD$5&lt;=$G14),1,"")</f>
        <v/>
      </c>
      <c r="AE14" s="14" t="str">
        <f aca="false">IF(AND(AE$5&gt;=$E14,AE$5&lt;=$G14),1,"")</f>
        <v/>
      </c>
    </row>
    <row r="15" customFormat="false" ht="15" hidden="false" customHeight="false" outlineLevel="0" collapsed="false">
      <c r="A15" s="4" t="s">
        <v>69</v>
      </c>
      <c r="B15" s="4" t="s">
        <v>70</v>
      </c>
      <c r="C15" s="4" t="s">
        <v>71</v>
      </c>
      <c r="D15" s="4" t="s">
        <v>72</v>
      </c>
      <c r="E15" s="10" t="n">
        <v>13</v>
      </c>
      <c r="F15" s="10" t="n">
        <v>5</v>
      </c>
      <c r="G15" s="4" t="n">
        <f aca="false">E15+F15-1</f>
        <v>17</v>
      </c>
      <c r="H15" s="13" t="n">
        <f aca="false">$C$3+(E15-1)*7</f>
        <v>46111</v>
      </c>
      <c r="I15" s="13" t="n">
        <f aca="false">$C$3+G15*7-3</f>
        <v>46143</v>
      </c>
      <c r="J15" s="14" t="str">
        <f aca="false">IF(AND(J$5&gt;=$E15,J$5&lt;=$G15),1,"")</f>
        <v/>
      </c>
      <c r="K15" s="14" t="str">
        <f aca="false">IF(AND(K$5&gt;=$E15,K$5&lt;=$G15),1,"")</f>
        <v/>
      </c>
      <c r="L15" s="14" t="str">
        <f aca="false">IF(AND(L$5&gt;=$E15,L$5&lt;=$G15),1,"")</f>
        <v/>
      </c>
      <c r="M15" s="14" t="str">
        <f aca="false">IF(AND(M$5&gt;=$E15,M$5&lt;=$G15),1,"")</f>
        <v/>
      </c>
      <c r="N15" s="14" t="str">
        <f aca="false">IF(AND(N$5&gt;=$E15,N$5&lt;=$G15),1,"")</f>
        <v/>
      </c>
      <c r="O15" s="14" t="str">
        <f aca="false">IF(AND(O$5&gt;=$E15,O$5&lt;=$G15),1,"")</f>
        <v/>
      </c>
      <c r="P15" s="14" t="str">
        <f aca="false">IF(AND(P$5&gt;=$E15,P$5&lt;=$G15),1,"")</f>
        <v/>
      </c>
      <c r="Q15" s="14" t="str">
        <f aca="false">IF(AND(Q$5&gt;=$E15,Q$5&lt;=$G15),1,"")</f>
        <v/>
      </c>
      <c r="R15" s="14" t="str">
        <f aca="false">IF(AND(R$5&gt;=$E15,R$5&lt;=$G15),1,"")</f>
        <v/>
      </c>
      <c r="S15" s="14" t="str">
        <f aca="false">IF(AND(S$5&gt;=$E15,S$5&lt;=$G15),1,"")</f>
        <v/>
      </c>
      <c r="T15" s="14" t="str">
        <f aca="false">IF(AND(T$5&gt;=$E15,T$5&lt;=$G15),1,"")</f>
        <v/>
      </c>
      <c r="U15" s="14" t="str">
        <f aca="false">IF(AND(U$5&gt;=$E15,U$5&lt;=$G15),1,"")</f>
        <v/>
      </c>
      <c r="V15" s="14" t="n">
        <f aca="false">IF(AND(V$5&gt;=$E15,V$5&lt;=$G15),1,"")</f>
        <v>1</v>
      </c>
      <c r="W15" s="14" t="n">
        <f aca="false">IF(AND(W$5&gt;=$E15,W$5&lt;=$G15),1,"")</f>
        <v>1</v>
      </c>
      <c r="X15" s="14" t="n">
        <f aca="false">IF(AND(X$5&gt;=$E15,X$5&lt;=$G15),1,"")</f>
        <v>1</v>
      </c>
      <c r="Y15" s="14" t="n">
        <f aca="false">IF(AND(Y$5&gt;=$E15,Y$5&lt;=$G15),1,"")</f>
        <v>1</v>
      </c>
      <c r="Z15" s="14" t="n">
        <f aca="false">IF(AND(Z$5&gt;=$E15,Z$5&lt;=$G15),1,"")</f>
        <v>1</v>
      </c>
      <c r="AA15" s="14" t="str">
        <f aca="false">IF(AND(AA$5&gt;=$E15,AA$5&lt;=$G15),1,"")</f>
        <v/>
      </c>
      <c r="AB15" s="14" t="str">
        <f aca="false">IF(AND(AB$5&gt;=$E15,AB$5&lt;=$G15),1,"")</f>
        <v/>
      </c>
      <c r="AC15" s="14" t="str">
        <f aca="false">IF(AND(AC$5&gt;=$E15,AC$5&lt;=$G15),1,"")</f>
        <v/>
      </c>
      <c r="AD15" s="14" t="str">
        <f aca="false">IF(AND(AD$5&gt;=$E15,AD$5&lt;=$G15),1,"")</f>
        <v/>
      </c>
      <c r="AE15" s="14" t="str">
        <f aca="false">IF(AND(AE$5&gt;=$E15,AE$5&lt;=$G15),1,"")</f>
        <v/>
      </c>
    </row>
    <row r="16" customFormat="false" ht="15" hidden="false" customHeight="false" outlineLevel="0" collapsed="false">
      <c r="A16" s="4" t="s">
        <v>73</v>
      </c>
      <c r="B16" s="4" t="s">
        <v>70</v>
      </c>
      <c r="C16" s="4" t="s">
        <v>74</v>
      </c>
      <c r="D16" s="4" t="s">
        <v>44</v>
      </c>
      <c r="E16" s="10" t="n">
        <v>16</v>
      </c>
      <c r="F16" s="10" t="n">
        <v>2</v>
      </c>
      <c r="G16" s="4" t="n">
        <f aca="false">E16+F16-1</f>
        <v>17</v>
      </c>
      <c r="H16" s="13" t="n">
        <f aca="false">$C$3+(E16-1)*7</f>
        <v>46132</v>
      </c>
      <c r="I16" s="13" t="n">
        <f aca="false">$C$3+G16*7-3</f>
        <v>46143</v>
      </c>
      <c r="J16" s="14" t="str">
        <f aca="false">IF(AND(J$5&gt;=$E16,J$5&lt;=$G16),1,"")</f>
        <v/>
      </c>
      <c r="K16" s="14" t="str">
        <f aca="false">IF(AND(K$5&gt;=$E16,K$5&lt;=$G16),1,"")</f>
        <v/>
      </c>
      <c r="L16" s="14" t="str">
        <f aca="false">IF(AND(L$5&gt;=$E16,L$5&lt;=$G16),1,"")</f>
        <v/>
      </c>
      <c r="M16" s="14" t="str">
        <f aca="false">IF(AND(M$5&gt;=$E16,M$5&lt;=$G16),1,"")</f>
        <v/>
      </c>
      <c r="N16" s="14" t="str">
        <f aca="false">IF(AND(N$5&gt;=$E16,N$5&lt;=$G16),1,"")</f>
        <v/>
      </c>
      <c r="O16" s="14" t="str">
        <f aca="false">IF(AND(O$5&gt;=$E16,O$5&lt;=$G16),1,"")</f>
        <v/>
      </c>
      <c r="P16" s="14" t="str">
        <f aca="false">IF(AND(P$5&gt;=$E16,P$5&lt;=$G16),1,"")</f>
        <v/>
      </c>
      <c r="Q16" s="14" t="str">
        <f aca="false">IF(AND(Q$5&gt;=$E16,Q$5&lt;=$G16),1,"")</f>
        <v/>
      </c>
      <c r="R16" s="14" t="str">
        <f aca="false">IF(AND(R$5&gt;=$E16,R$5&lt;=$G16),1,"")</f>
        <v/>
      </c>
      <c r="S16" s="14" t="str">
        <f aca="false">IF(AND(S$5&gt;=$E16,S$5&lt;=$G16),1,"")</f>
        <v/>
      </c>
      <c r="T16" s="14" t="str">
        <f aca="false">IF(AND(T$5&gt;=$E16,T$5&lt;=$G16),1,"")</f>
        <v/>
      </c>
      <c r="U16" s="14" t="str">
        <f aca="false">IF(AND(U$5&gt;=$E16,U$5&lt;=$G16),1,"")</f>
        <v/>
      </c>
      <c r="V16" s="14" t="str">
        <f aca="false">IF(AND(V$5&gt;=$E16,V$5&lt;=$G16),1,"")</f>
        <v/>
      </c>
      <c r="W16" s="14" t="str">
        <f aca="false">IF(AND(W$5&gt;=$E16,W$5&lt;=$G16),1,"")</f>
        <v/>
      </c>
      <c r="X16" s="14" t="str">
        <f aca="false">IF(AND(X$5&gt;=$E16,X$5&lt;=$G16),1,"")</f>
        <v/>
      </c>
      <c r="Y16" s="14" t="n">
        <f aca="false">IF(AND(Y$5&gt;=$E16,Y$5&lt;=$G16),1,"")</f>
        <v>1</v>
      </c>
      <c r="Z16" s="14" t="n">
        <f aca="false">IF(AND(Z$5&gt;=$E16,Z$5&lt;=$G16),1,"")</f>
        <v>1</v>
      </c>
      <c r="AA16" s="14" t="str">
        <f aca="false">IF(AND(AA$5&gt;=$E16,AA$5&lt;=$G16),1,"")</f>
        <v/>
      </c>
      <c r="AB16" s="14" t="str">
        <f aca="false">IF(AND(AB$5&gt;=$E16,AB$5&lt;=$G16),1,"")</f>
        <v/>
      </c>
      <c r="AC16" s="14" t="str">
        <f aca="false">IF(AND(AC$5&gt;=$E16,AC$5&lt;=$G16),1,"")</f>
        <v/>
      </c>
      <c r="AD16" s="14" t="str">
        <f aca="false">IF(AND(AD$5&gt;=$E16,AD$5&lt;=$G16),1,"")</f>
        <v/>
      </c>
      <c r="AE16" s="14" t="str">
        <f aca="false">IF(AND(AE$5&gt;=$E16,AE$5&lt;=$G16),1,"")</f>
        <v/>
      </c>
    </row>
    <row r="17" customFormat="false" ht="15" hidden="false" customHeight="false" outlineLevel="0" collapsed="false">
      <c r="A17" s="4" t="s">
        <v>75</v>
      </c>
      <c r="B17" s="4" t="s">
        <v>76</v>
      </c>
      <c r="C17" s="4" t="s">
        <v>77</v>
      </c>
      <c r="D17" s="4" t="s">
        <v>44</v>
      </c>
      <c r="E17" s="10" t="n">
        <v>18</v>
      </c>
      <c r="F17" s="10" t="n">
        <v>1</v>
      </c>
      <c r="G17" s="4" t="n">
        <f aca="false">E17+F17-1</f>
        <v>18</v>
      </c>
      <c r="H17" s="13" t="n">
        <f aca="false">$C$3+(E17-1)*7</f>
        <v>46146</v>
      </c>
      <c r="I17" s="13" t="n">
        <f aca="false">$C$3+G17*7-3</f>
        <v>46150</v>
      </c>
      <c r="J17" s="14" t="str">
        <f aca="false">IF(AND(J$5&gt;=$E17,J$5&lt;=$G17),1,"")</f>
        <v/>
      </c>
      <c r="K17" s="14" t="str">
        <f aca="false">IF(AND(K$5&gt;=$E17,K$5&lt;=$G17),1,"")</f>
        <v/>
      </c>
      <c r="L17" s="14" t="str">
        <f aca="false">IF(AND(L$5&gt;=$E17,L$5&lt;=$G17),1,"")</f>
        <v/>
      </c>
      <c r="M17" s="14" t="str">
        <f aca="false">IF(AND(M$5&gt;=$E17,M$5&lt;=$G17),1,"")</f>
        <v/>
      </c>
      <c r="N17" s="14" t="str">
        <f aca="false">IF(AND(N$5&gt;=$E17,N$5&lt;=$G17),1,"")</f>
        <v/>
      </c>
      <c r="O17" s="14" t="str">
        <f aca="false">IF(AND(O$5&gt;=$E17,O$5&lt;=$G17),1,"")</f>
        <v/>
      </c>
      <c r="P17" s="14" t="str">
        <f aca="false">IF(AND(P$5&gt;=$E17,P$5&lt;=$G17),1,"")</f>
        <v/>
      </c>
      <c r="Q17" s="14" t="str">
        <f aca="false">IF(AND(Q$5&gt;=$E17,Q$5&lt;=$G17),1,"")</f>
        <v/>
      </c>
      <c r="R17" s="14" t="str">
        <f aca="false">IF(AND(R$5&gt;=$E17,R$5&lt;=$G17),1,"")</f>
        <v/>
      </c>
      <c r="S17" s="14" t="str">
        <f aca="false">IF(AND(S$5&gt;=$E17,S$5&lt;=$G17),1,"")</f>
        <v/>
      </c>
      <c r="T17" s="14" t="str">
        <f aca="false">IF(AND(T$5&gt;=$E17,T$5&lt;=$G17),1,"")</f>
        <v/>
      </c>
      <c r="U17" s="14" t="str">
        <f aca="false">IF(AND(U$5&gt;=$E17,U$5&lt;=$G17),1,"")</f>
        <v/>
      </c>
      <c r="V17" s="14" t="str">
        <f aca="false">IF(AND(V$5&gt;=$E17,V$5&lt;=$G17),1,"")</f>
        <v/>
      </c>
      <c r="W17" s="14" t="str">
        <f aca="false">IF(AND(W$5&gt;=$E17,W$5&lt;=$G17),1,"")</f>
        <v/>
      </c>
      <c r="X17" s="14" t="str">
        <f aca="false">IF(AND(X$5&gt;=$E17,X$5&lt;=$G17),1,"")</f>
        <v/>
      </c>
      <c r="Y17" s="14" t="str">
        <f aca="false">IF(AND(Y$5&gt;=$E17,Y$5&lt;=$G17),1,"")</f>
        <v/>
      </c>
      <c r="Z17" s="14" t="str">
        <f aca="false">IF(AND(Z$5&gt;=$E17,Z$5&lt;=$G17),1,"")</f>
        <v/>
      </c>
      <c r="AA17" s="14" t="n">
        <f aca="false">IF(AND(AA$5&gt;=$E17,AA$5&lt;=$G17),1,"")</f>
        <v>1</v>
      </c>
      <c r="AB17" s="14" t="str">
        <f aca="false">IF(AND(AB$5&gt;=$E17,AB$5&lt;=$G17),1,"")</f>
        <v/>
      </c>
      <c r="AC17" s="14" t="str">
        <f aca="false">IF(AND(AC$5&gt;=$E17,AC$5&lt;=$G17),1,"")</f>
        <v/>
      </c>
      <c r="AD17" s="14" t="str">
        <f aca="false">IF(AND(AD$5&gt;=$E17,AD$5&lt;=$G17),1,"")</f>
        <v/>
      </c>
      <c r="AE17" s="14" t="str">
        <f aca="false">IF(AND(AE$5&gt;=$E17,AE$5&lt;=$G17),1,"")</f>
        <v/>
      </c>
    </row>
    <row r="18" customFormat="false" ht="15" hidden="false" customHeight="false" outlineLevel="0" collapsed="false">
      <c r="A18" s="4" t="s">
        <v>78</v>
      </c>
      <c r="B18" s="4" t="s">
        <v>79</v>
      </c>
      <c r="C18" s="4" t="s">
        <v>80</v>
      </c>
      <c r="D18" s="4" t="s">
        <v>60</v>
      </c>
      <c r="E18" s="10" t="n">
        <v>18</v>
      </c>
      <c r="F18" s="10" t="n">
        <v>4</v>
      </c>
      <c r="G18" s="4" t="n">
        <f aca="false">E18+F18-1</f>
        <v>21</v>
      </c>
      <c r="H18" s="13" t="n">
        <f aca="false">$C$3+(E18-1)*7</f>
        <v>46146</v>
      </c>
      <c r="I18" s="13" t="n">
        <f aca="false">$C$3+G18*7-3</f>
        <v>46171</v>
      </c>
      <c r="J18" s="14" t="str">
        <f aca="false">IF(AND(J$5&gt;=$E18,J$5&lt;=$G18),1,"")</f>
        <v/>
      </c>
      <c r="K18" s="14" t="str">
        <f aca="false">IF(AND(K$5&gt;=$E18,K$5&lt;=$G18),1,"")</f>
        <v/>
      </c>
      <c r="L18" s="14" t="str">
        <f aca="false">IF(AND(L$5&gt;=$E18,L$5&lt;=$G18),1,"")</f>
        <v/>
      </c>
      <c r="M18" s="14" t="str">
        <f aca="false">IF(AND(M$5&gt;=$E18,M$5&lt;=$G18),1,"")</f>
        <v/>
      </c>
      <c r="N18" s="14" t="str">
        <f aca="false">IF(AND(N$5&gt;=$E18,N$5&lt;=$G18),1,"")</f>
        <v/>
      </c>
      <c r="O18" s="14" t="str">
        <f aca="false">IF(AND(O$5&gt;=$E18,O$5&lt;=$G18),1,"")</f>
        <v/>
      </c>
      <c r="P18" s="14" t="str">
        <f aca="false">IF(AND(P$5&gt;=$E18,P$5&lt;=$G18),1,"")</f>
        <v/>
      </c>
      <c r="Q18" s="14" t="str">
        <f aca="false">IF(AND(Q$5&gt;=$E18,Q$5&lt;=$G18),1,"")</f>
        <v/>
      </c>
      <c r="R18" s="14" t="str">
        <f aca="false">IF(AND(R$5&gt;=$E18,R$5&lt;=$G18),1,"")</f>
        <v/>
      </c>
      <c r="S18" s="14" t="str">
        <f aca="false">IF(AND(S$5&gt;=$E18,S$5&lt;=$G18),1,"")</f>
        <v/>
      </c>
      <c r="T18" s="14" t="str">
        <f aca="false">IF(AND(T$5&gt;=$E18,T$5&lt;=$G18),1,"")</f>
        <v/>
      </c>
      <c r="U18" s="14" t="str">
        <f aca="false">IF(AND(U$5&gt;=$E18,U$5&lt;=$G18),1,"")</f>
        <v/>
      </c>
      <c r="V18" s="14" t="str">
        <f aca="false">IF(AND(V$5&gt;=$E18,V$5&lt;=$G18),1,"")</f>
        <v/>
      </c>
      <c r="W18" s="14" t="str">
        <f aca="false">IF(AND(W$5&gt;=$E18,W$5&lt;=$G18),1,"")</f>
        <v/>
      </c>
      <c r="X18" s="14" t="str">
        <f aca="false">IF(AND(X$5&gt;=$E18,X$5&lt;=$G18),1,"")</f>
        <v/>
      </c>
      <c r="Y18" s="14" t="str">
        <f aca="false">IF(AND(Y$5&gt;=$E18,Y$5&lt;=$G18),1,"")</f>
        <v/>
      </c>
      <c r="Z18" s="14" t="str">
        <f aca="false">IF(AND(Z$5&gt;=$E18,Z$5&lt;=$G18),1,"")</f>
        <v/>
      </c>
      <c r="AA18" s="14" t="n">
        <f aca="false">IF(AND(AA$5&gt;=$E18,AA$5&lt;=$G18),1,"")</f>
        <v>1</v>
      </c>
      <c r="AB18" s="14" t="n">
        <f aca="false">IF(AND(AB$5&gt;=$E18,AB$5&lt;=$G18),1,"")</f>
        <v>1</v>
      </c>
      <c r="AC18" s="14" t="n">
        <f aca="false">IF(AND(AC$5&gt;=$E18,AC$5&lt;=$G18),1,"")</f>
        <v>1</v>
      </c>
      <c r="AD18" s="14" t="n">
        <f aca="false">IF(AND(AD$5&gt;=$E18,AD$5&lt;=$G18),1,"")</f>
        <v>1</v>
      </c>
      <c r="AE18" s="14" t="str">
        <f aca="false">IF(AND(AE$5&gt;=$E18,AE$5&lt;=$G18),1,"")</f>
        <v/>
      </c>
    </row>
    <row r="19" customFormat="false" ht="15" hidden="false" customHeight="false" outlineLevel="0" collapsed="false">
      <c r="A19" s="4" t="s">
        <v>81</v>
      </c>
      <c r="B19" s="4" t="s">
        <v>79</v>
      </c>
      <c r="C19" s="4" t="s">
        <v>82</v>
      </c>
      <c r="D19" s="4" t="s">
        <v>44</v>
      </c>
      <c r="E19" s="10" t="n">
        <v>20</v>
      </c>
      <c r="F19" s="10" t="n">
        <v>2</v>
      </c>
      <c r="G19" s="4" t="n">
        <f aca="false">E19+F19-1</f>
        <v>21</v>
      </c>
      <c r="H19" s="13" t="n">
        <f aca="false">$C$3+(E19-1)*7</f>
        <v>46160</v>
      </c>
      <c r="I19" s="13" t="n">
        <f aca="false">$C$3+G19*7-3</f>
        <v>46171</v>
      </c>
      <c r="J19" s="14" t="str">
        <f aca="false">IF(AND(J$5&gt;=$E19,J$5&lt;=$G19),1,"")</f>
        <v/>
      </c>
      <c r="K19" s="14" t="str">
        <f aca="false">IF(AND(K$5&gt;=$E19,K$5&lt;=$G19),1,"")</f>
        <v/>
      </c>
      <c r="L19" s="14" t="str">
        <f aca="false">IF(AND(L$5&gt;=$E19,L$5&lt;=$G19),1,"")</f>
        <v/>
      </c>
      <c r="M19" s="14" t="str">
        <f aca="false">IF(AND(M$5&gt;=$E19,M$5&lt;=$G19),1,"")</f>
        <v/>
      </c>
      <c r="N19" s="14" t="str">
        <f aca="false">IF(AND(N$5&gt;=$E19,N$5&lt;=$G19),1,"")</f>
        <v/>
      </c>
      <c r="O19" s="14" t="str">
        <f aca="false">IF(AND(O$5&gt;=$E19,O$5&lt;=$G19),1,"")</f>
        <v/>
      </c>
      <c r="P19" s="14" t="str">
        <f aca="false">IF(AND(P$5&gt;=$E19,P$5&lt;=$G19),1,"")</f>
        <v/>
      </c>
      <c r="Q19" s="14" t="str">
        <f aca="false">IF(AND(Q$5&gt;=$E19,Q$5&lt;=$G19),1,"")</f>
        <v/>
      </c>
      <c r="R19" s="14" t="str">
        <f aca="false">IF(AND(R$5&gt;=$E19,R$5&lt;=$G19),1,"")</f>
        <v/>
      </c>
      <c r="S19" s="14" t="str">
        <f aca="false">IF(AND(S$5&gt;=$E19,S$5&lt;=$G19),1,"")</f>
        <v/>
      </c>
      <c r="T19" s="14" t="str">
        <f aca="false">IF(AND(T$5&gt;=$E19,T$5&lt;=$G19),1,"")</f>
        <v/>
      </c>
      <c r="U19" s="14" t="str">
        <f aca="false">IF(AND(U$5&gt;=$E19,U$5&lt;=$G19),1,"")</f>
        <v/>
      </c>
      <c r="V19" s="14" t="str">
        <f aca="false">IF(AND(V$5&gt;=$E19,V$5&lt;=$G19),1,"")</f>
        <v/>
      </c>
      <c r="W19" s="14" t="str">
        <f aca="false">IF(AND(W$5&gt;=$E19,W$5&lt;=$G19),1,"")</f>
        <v/>
      </c>
      <c r="X19" s="14" t="str">
        <f aca="false">IF(AND(X$5&gt;=$E19,X$5&lt;=$G19),1,"")</f>
        <v/>
      </c>
      <c r="Y19" s="14" t="str">
        <f aca="false">IF(AND(Y$5&gt;=$E19,Y$5&lt;=$G19),1,"")</f>
        <v/>
      </c>
      <c r="Z19" s="14" t="str">
        <f aca="false">IF(AND(Z$5&gt;=$E19,Z$5&lt;=$G19),1,"")</f>
        <v/>
      </c>
      <c r="AA19" s="14" t="str">
        <f aca="false">IF(AND(AA$5&gt;=$E19,AA$5&lt;=$G19),1,"")</f>
        <v/>
      </c>
      <c r="AB19" s="14" t="str">
        <f aca="false">IF(AND(AB$5&gt;=$E19,AB$5&lt;=$G19),1,"")</f>
        <v/>
      </c>
      <c r="AC19" s="14" t="n">
        <f aca="false">IF(AND(AC$5&gt;=$E19,AC$5&lt;=$G19),1,"")</f>
        <v>1</v>
      </c>
      <c r="AD19" s="14" t="n">
        <f aca="false">IF(AND(AD$5&gt;=$E19,AD$5&lt;=$G19),1,"")</f>
        <v>1</v>
      </c>
      <c r="AE19" s="14" t="str">
        <f aca="false">IF(AND(AE$5&gt;=$E19,AE$5&lt;=$G19),1,"")</f>
        <v/>
      </c>
    </row>
    <row r="20" customFormat="false" ht="15" hidden="false" customHeight="false" outlineLevel="0" collapsed="false">
      <c r="A20" s="4" t="s">
        <v>83</v>
      </c>
      <c r="B20" s="4" t="s">
        <v>84</v>
      </c>
      <c r="C20" s="3" t="s">
        <v>85</v>
      </c>
      <c r="D20" s="4"/>
      <c r="E20" s="10" t="n">
        <v>1</v>
      </c>
      <c r="F20" s="10" t="n">
        <v>0</v>
      </c>
      <c r="G20" s="4" t="n">
        <f aca="false">E20</f>
        <v>1</v>
      </c>
      <c r="H20" s="13" t="n">
        <f aca="false">$C$3+(E20-1)*7</f>
        <v>46027</v>
      </c>
      <c r="I20" s="13" t="n">
        <f aca="false">H20</f>
        <v>46027</v>
      </c>
      <c r="J20" s="14" t="str">
        <f aca="false">IF(J$5=$E20,"◆","")</f>
        <v>◆</v>
      </c>
      <c r="K20" s="14" t="str">
        <f aca="false">IF(K$5=$E20,"◆","")</f>
        <v/>
      </c>
      <c r="L20" s="14" t="str">
        <f aca="false">IF(L$5=$E20,"◆","")</f>
        <v/>
      </c>
      <c r="M20" s="14" t="str">
        <f aca="false">IF(M$5=$E20,"◆","")</f>
        <v/>
      </c>
      <c r="N20" s="14" t="str">
        <f aca="false">IF(N$5=$E20,"◆","")</f>
        <v/>
      </c>
      <c r="O20" s="14" t="str">
        <f aca="false">IF(O$5=$E20,"◆","")</f>
        <v/>
      </c>
      <c r="P20" s="14" t="str">
        <f aca="false">IF(P$5=$E20,"◆","")</f>
        <v/>
      </c>
      <c r="Q20" s="14" t="str">
        <f aca="false">IF(Q$5=$E20,"◆","")</f>
        <v/>
      </c>
      <c r="R20" s="14" t="str">
        <f aca="false">IF(R$5=$E20,"◆","")</f>
        <v/>
      </c>
      <c r="S20" s="14" t="str">
        <f aca="false">IF(S$5=$E20,"◆","")</f>
        <v/>
      </c>
      <c r="T20" s="14" t="str">
        <f aca="false">IF(T$5=$E20,"◆","")</f>
        <v/>
      </c>
      <c r="U20" s="14" t="str">
        <f aca="false">IF(U$5=$E20,"◆","")</f>
        <v/>
      </c>
      <c r="V20" s="14" t="str">
        <f aca="false">IF(V$5=$E20,"◆","")</f>
        <v/>
      </c>
      <c r="W20" s="14" t="str">
        <f aca="false">IF(W$5=$E20,"◆","")</f>
        <v/>
      </c>
      <c r="X20" s="14" t="str">
        <f aca="false">IF(X$5=$E20,"◆","")</f>
        <v/>
      </c>
      <c r="Y20" s="14" t="str">
        <f aca="false">IF(Y$5=$E20,"◆","")</f>
        <v/>
      </c>
      <c r="Z20" s="14" t="str">
        <f aca="false">IF(Z$5=$E20,"◆","")</f>
        <v/>
      </c>
      <c r="AA20" s="14" t="str">
        <f aca="false">IF(AA$5=$E20,"◆","")</f>
        <v/>
      </c>
      <c r="AB20" s="14" t="str">
        <f aca="false">IF(AB$5=$E20,"◆","")</f>
        <v/>
      </c>
      <c r="AC20" s="14" t="str">
        <f aca="false">IF(AC$5=$E20,"◆","")</f>
        <v/>
      </c>
      <c r="AD20" s="14" t="str">
        <f aca="false">IF(AD$5=$E20,"◆","")</f>
        <v/>
      </c>
      <c r="AE20" s="14" t="str">
        <f aca="false">IF(AE$5=$E20,"◆","")</f>
        <v/>
      </c>
    </row>
    <row r="21" customFormat="false" ht="15" hidden="false" customHeight="false" outlineLevel="0" collapsed="false">
      <c r="A21" s="4" t="s">
        <v>86</v>
      </c>
      <c r="B21" s="4" t="s">
        <v>84</v>
      </c>
      <c r="C21" s="3" t="s">
        <v>87</v>
      </c>
      <c r="D21" s="4"/>
      <c r="E21" s="10" t="n">
        <v>3</v>
      </c>
      <c r="F21" s="10" t="n">
        <v>0</v>
      </c>
      <c r="G21" s="4" t="n">
        <f aca="false">E21</f>
        <v>3</v>
      </c>
      <c r="H21" s="13" t="n">
        <f aca="false">$C$3+(E21-1)*7</f>
        <v>46041</v>
      </c>
      <c r="I21" s="13" t="n">
        <f aca="false">H21</f>
        <v>46041</v>
      </c>
      <c r="J21" s="14" t="str">
        <f aca="false">IF(J$5=$E21,"◆","")</f>
        <v/>
      </c>
      <c r="K21" s="14" t="str">
        <f aca="false">IF(K$5=$E21,"◆","")</f>
        <v/>
      </c>
      <c r="L21" s="14" t="str">
        <f aca="false">IF(L$5=$E21,"◆","")</f>
        <v>◆</v>
      </c>
      <c r="M21" s="14" t="str">
        <f aca="false">IF(M$5=$E21,"◆","")</f>
        <v/>
      </c>
      <c r="N21" s="14" t="str">
        <f aca="false">IF(N$5=$E21,"◆","")</f>
        <v/>
      </c>
      <c r="O21" s="14" t="str">
        <f aca="false">IF(O$5=$E21,"◆","")</f>
        <v/>
      </c>
      <c r="P21" s="14" t="str">
        <f aca="false">IF(P$5=$E21,"◆","")</f>
        <v/>
      </c>
      <c r="Q21" s="14" t="str">
        <f aca="false">IF(Q$5=$E21,"◆","")</f>
        <v/>
      </c>
      <c r="R21" s="14" t="str">
        <f aca="false">IF(R$5=$E21,"◆","")</f>
        <v/>
      </c>
      <c r="S21" s="14" t="str">
        <f aca="false">IF(S$5=$E21,"◆","")</f>
        <v/>
      </c>
      <c r="T21" s="14" t="str">
        <f aca="false">IF(T$5=$E21,"◆","")</f>
        <v/>
      </c>
      <c r="U21" s="14" t="str">
        <f aca="false">IF(U$5=$E21,"◆","")</f>
        <v/>
      </c>
      <c r="V21" s="14" t="str">
        <f aca="false">IF(V$5=$E21,"◆","")</f>
        <v/>
      </c>
      <c r="W21" s="14" t="str">
        <f aca="false">IF(W$5=$E21,"◆","")</f>
        <v/>
      </c>
      <c r="X21" s="14" t="str">
        <f aca="false">IF(X$5=$E21,"◆","")</f>
        <v/>
      </c>
      <c r="Y21" s="14" t="str">
        <f aca="false">IF(Y$5=$E21,"◆","")</f>
        <v/>
      </c>
      <c r="Z21" s="14" t="str">
        <f aca="false">IF(Z$5=$E21,"◆","")</f>
        <v/>
      </c>
      <c r="AA21" s="14" t="str">
        <f aca="false">IF(AA$5=$E21,"◆","")</f>
        <v/>
      </c>
      <c r="AB21" s="14" t="str">
        <f aca="false">IF(AB$5=$E21,"◆","")</f>
        <v/>
      </c>
      <c r="AC21" s="14" t="str">
        <f aca="false">IF(AC$5=$E21,"◆","")</f>
        <v/>
      </c>
      <c r="AD21" s="14" t="str">
        <f aca="false">IF(AD$5=$E21,"◆","")</f>
        <v/>
      </c>
      <c r="AE21" s="14" t="str">
        <f aca="false">IF(AE$5=$E21,"◆","")</f>
        <v/>
      </c>
    </row>
    <row r="22" customFormat="false" ht="15" hidden="false" customHeight="false" outlineLevel="0" collapsed="false">
      <c r="A22" s="4" t="s">
        <v>88</v>
      </c>
      <c r="B22" s="4" t="s">
        <v>84</v>
      </c>
      <c r="C22" s="3" t="s">
        <v>89</v>
      </c>
      <c r="D22" s="4"/>
      <c r="E22" s="10" t="n">
        <v>6</v>
      </c>
      <c r="F22" s="10" t="n">
        <v>0</v>
      </c>
      <c r="G22" s="4" t="n">
        <f aca="false">E22</f>
        <v>6</v>
      </c>
      <c r="H22" s="13" t="n">
        <f aca="false">$C$3+(E22-1)*7</f>
        <v>46062</v>
      </c>
      <c r="I22" s="13" t="n">
        <f aca="false">H22</f>
        <v>46062</v>
      </c>
      <c r="J22" s="14" t="str">
        <f aca="false">IF(J$5=$E22,"◆","")</f>
        <v/>
      </c>
      <c r="K22" s="14" t="str">
        <f aca="false">IF(K$5=$E22,"◆","")</f>
        <v/>
      </c>
      <c r="L22" s="14" t="str">
        <f aca="false">IF(L$5=$E22,"◆","")</f>
        <v/>
      </c>
      <c r="M22" s="14" t="str">
        <f aca="false">IF(M$5=$E22,"◆","")</f>
        <v/>
      </c>
      <c r="N22" s="14" t="str">
        <f aca="false">IF(N$5=$E22,"◆","")</f>
        <v/>
      </c>
      <c r="O22" s="14" t="str">
        <f aca="false">IF(O$5=$E22,"◆","")</f>
        <v>◆</v>
      </c>
      <c r="P22" s="14" t="str">
        <f aca="false">IF(P$5=$E22,"◆","")</f>
        <v/>
      </c>
      <c r="Q22" s="14" t="str">
        <f aca="false">IF(Q$5=$E22,"◆","")</f>
        <v/>
      </c>
      <c r="R22" s="14" t="str">
        <f aca="false">IF(R$5=$E22,"◆","")</f>
        <v/>
      </c>
      <c r="S22" s="14" t="str">
        <f aca="false">IF(S$5=$E22,"◆","")</f>
        <v/>
      </c>
      <c r="T22" s="14" t="str">
        <f aca="false">IF(T$5=$E22,"◆","")</f>
        <v/>
      </c>
      <c r="U22" s="14" t="str">
        <f aca="false">IF(U$5=$E22,"◆","")</f>
        <v/>
      </c>
      <c r="V22" s="14" t="str">
        <f aca="false">IF(V$5=$E22,"◆","")</f>
        <v/>
      </c>
      <c r="W22" s="14" t="str">
        <f aca="false">IF(W$5=$E22,"◆","")</f>
        <v/>
      </c>
      <c r="X22" s="14" t="str">
        <f aca="false">IF(X$5=$E22,"◆","")</f>
        <v/>
      </c>
      <c r="Y22" s="14" t="str">
        <f aca="false">IF(Y$5=$E22,"◆","")</f>
        <v/>
      </c>
      <c r="Z22" s="14" t="str">
        <f aca="false">IF(Z$5=$E22,"◆","")</f>
        <v/>
      </c>
      <c r="AA22" s="14" t="str">
        <f aca="false">IF(AA$5=$E22,"◆","")</f>
        <v/>
      </c>
      <c r="AB22" s="14" t="str">
        <f aca="false">IF(AB$5=$E22,"◆","")</f>
        <v/>
      </c>
      <c r="AC22" s="14" t="str">
        <f aca="false">IF(AC$5=$E22,"◆","")</f>
        <v/>
      </c>
      <c r="AD22" s="14" t="str">
        <f aca="false">IF(AD$5=$E22,"◆","")</f>
        <v/>
      </c>
      <c r="AE22" s="14" t="str">
        <f aca="false">IF(AE$5=$E22,"◆","")</f>
        <v/>
      </c>
    </row>
    <row r="23" customFormat="false" ht="15" hidden="false" customHeight="false" outlineLevel="0" collapsed="false">
      <c r="A23" s="4" t="s">
        <v>90</v>
      </c>
      <c r="B23" s="4" t="s">
        <v>84</v>
      </c>
      <c r="C23" s="3" t="s">
        <v>91</v>
      </c>
      <c r="D23" s="4"/>
      <c r="E23" s="10" t="n">
        <v>10</v>
      </c>
      <c r="F23" s="10" t="n">
        <v>0</v>
      </c>
      <c r="G23" s="4" t="n">
        <f aca="false">E23</f>
        <v>10</v>
      </c>
      <c r="H23" s="13" t="n">
        <f aca="false">$C$3+(E23-1)*7</f>
        <v>46090</v>
      </c>
      <c r="I23" s="13" t="n">
        <f aca="false">H23</f>
        <v>46090</v>
      </c>
      <c r="J23" s="14" t="str">
        <f aca="false">IF(J$5=$E23,"◆","")</f>
        <v/>
      </c>
      <c r="K23" s="14" t="str">
        <f aca="false">IF(K$5=$E23,"◆","")</f>
        <v/>
      </c>
      <c r="L23" s="14" t="str">
        <f aca="false">IF(L$5=$E23,"◆","")</f>
        <v/>
      </c>
      <c r="M23" s="14" t="str">
        <f aca="false">IF(M$5=$E23,"◆","")</f>
        <v/>
      </c>
      <c r="N23" s="14" t="str">
        <f aca="false">IF(N$5=$E23,"◆","")</f>
        <v/>
      </c>
      <c r="O23" s="14" t="str">
        <f aca="false">IF(O$5=$E23,"◆","")</f>
        <v/>
      </c>
      <c r="P23" s="14" t="str">
        <f aca="false">IF(P$5=$E23,"◆","")</f>
        <v/>
      </c>
      <c r="Q23" s="14" t="str">
        <f aca="false">IF(Q$5=$E23,"◆","")</f>
        <v/>
      </c>
      <c r="R23" s="14" t="str">
        <f aca="false">IF(R$5=$E23,"◆","")</f>
        <v/>
      </c>
      <c r="S23" s="14" t="str">
        <f aca="false">IF(S$5=$E23,"◆","")</f>
        <v>◆</v>
      </c>
      <c r="T23" s="14" t="str">
        <f aca="false">IF(T$5=$E23,"◆","")</f>
        <v/>
      </c>
      <c r="U23" s="14" t="str">
        <f aca="false">IF(U$5=$E23,"◆","")</f>
        <v/>
      </c>
      <c r="V23" s="14" t="str">
        <f aca="false">IF(V$5=$E23,"◆","")</f>
        <v/>
      </c>
      <c r="W23" s="14" t="str">
        <f aca="false">IF(W$5=$E23,"◆","")</f>
        <v/>
      </c>
      <c r="X23" s="14" t="str">
        <f aca="false">IF(X$5=$E23,"◆","")</f>
        <v/>
      </c>
      <c r="Y23" s="14" t="str">
        <f aca="false">IF(Y$5=$E23,"◆","")</f>
        <v/>
      </c>
      <c r="Z23" s="14" t="str">
        <f aca="false">IF(Z$5=$E23,"◆","")</f>
        <v/>
      </c>
      <c r="AA23" s="14" t="str">
        <f aca="false">IF(AA$5=$E23,"◆","")</f>
        <v/>
      </c>
      <c r="AB23" s="14" t="str">
        <f aca="false">IF(AB$5=$E23,"◆","")</f>
        <v/>
      </c>
      <c r="AC23" s="14" t="str">
        <f aca="false">IF(AC$5=$E23,"◆","")</f>
        <v/>
      </c>
      <c r="AD23" s="14" t="str">
        <f aca="false">IF(AD$5=$E23,"◆","")</f>
        <v/>
      </c>
      <c r="AE23" s="14" t="str">
        <f aca="false">IF(AE$5=$E23,"◆","")</f>
        <v/>
      </c>
    </row>
    <row r="24" customFormat="false" ht="15" hidden="false" customHeight="false" outlineLevel="0" collapsed="false">
      <c r="A24" s="4" t="s">
        <v>92</v>
      </c>
      <c r="B24" s="4" t="s">
        <v>84</v>
      </c>
      <c r="C24" s="3" t="s">
        <v>93</v>
      </c>
      <c r="D24" s="4"/>
      <c r="E24" s="10" t="n">
        <v>12</v>
      </c>
      <c r="F24" s="10" t="n">
        <v>0</v>
      </c>
      <c r="G24" s="4" t="n">
        <f aca="false">E24</f>
        <v>12</v>
      </c>
      <c r="H24" s="13" t="n">
        <f aca="false">$C$3+(E24-1)*7</f>
        <v>46104</v>
      </c>
      <c r="I24" s="13" t="n">
        <f aca="false">H24</f>
        <v>46104</v>
      </c>
      <c r="J24" s="14" t="str">
        <f aca="false">IF(J$5=$E24,"◆","")</f>
        <v/>
      </c>
      <c r="K24" s="14" t="str">
        <f aca="false">IF(K$5=$E24,"◆","")</f>
        <v/>
      </c>
      <c r="L24" s="14" t="str">
        <f aca="false">IF(L$5=$E24,"◆","")</f>
        <v/>
      </c>
      <c r="M24" s="14" t="str">
        <f aca="false">IF(M$5=$E24,"◆","")</f>
        <v/>
      </c>
      <c r="N24" s="14" t="str">
        <f aca="false">IF(N$5=$E24,"◆","")</f>
        <v/>
      </c>
      <c r="O24" s="14" t="str">
        <f aca="false">IF(O$5=$E24,"◆","")</f>
        <v/>
      </c>
      <c r="P24" s="14" t="str">
        <f aca="false">IF(P$5=$E24,"◆","")</f>
        <v/>
      </c>
      <c r="Q24" s="14" t="str">
        <f aca="false">IF(Q$5=$E24,"◆","")</f>
        <v/>
      </c>
      <c r="R24" s="14" t="str">
        <f aca="false">IF(R$5=$E24,"◆","")</f>
        <v/>
      </c>
      <c r="S24" s="14" t="str">
        <f aca="false">IF(S$5=$E24,"◆","")</f>
        <v/>
      </c>
      <c r="T24" s="14" t="str">
        <f aca="false">IF(T$5=$E24,"◆","")</f>
        <v/>
      </c>
      <c r="U24" s="14" t="str">
        <f aca="false">IF(U$5=$E24,"◆","")</f>
        <v>◆</v>
      </c>
      <c r="V24" s="14" t="str">
        <f aca="false">IF(V$5=$E24,"◆","")</f>
        <v/>
      </c>
      <c r="W24" s="14" t="str">
        <f aca="false">IF(W$5=$E24,"◆","")</f>
        <v/>
      </c>
      <c r="X24" s="14" t="str">
        <f aca="false">IF(X$5=$E24,"◆","")</f>
        <v/>
      </c>
      <c r="Y24" s="14" t="str">
        <f aca="false">IF(Y$5=$E24,"◆","")</f>
        <v/>
      </c>
      <c r="Z24" s="14" t="str">
        <f aca="false">IF(Z$5=$E24,"◆","")</f>
        <v/>
      </c>
      <c r="AA24" s="14" t="str">
        <f aca="false">IF(AA$5=$E24,"◆","")</f>
        <v/>
      </c>
      <c r="AB24" s="14" t="str">
        <f aca="false">IF(AB$5=$E24,"◆","")</f>
        <v/>
      </c>
      <c r="AC24" s="14" t="str">
        <f aca="false">IF(AC$5=$E24,"◆","")</f>
        <v/>
      </c>
      <c r="AD24" s="14" t="str">
        <f aca="false">IF(AD$5=$E24,"◆","")</f>
        <v/>
      </c>
      <c r="AE24" s="14" t="str">
        <f aca="false">IF(AE$5=$E24,"◆","")</f>
        <v/>
      </c>
    </row>
    <row r="25" customFormat="false" ht="15" hidden="false" customHeight="false" outlineLevel="0" collapsed="false">
      <c r="A25" s="4" t="s">
        <v>94</v>
      </c>
      <c r="B25" s="4" t="s">
        <v>84</v>
      </c>
      <c r="C25" s="3" t="s">
        <v>95</v>
      </c>
      <c r="D25" s="4"/>
      <c r="E25" s="10" t="n">
        <v>16</v>
      </c>
      <c r="F25" s="10" t="n">
        <v>0</v>
      </c>
      <c r="G25" s="4" t="n">
        <f aca="false">E25</f>
        <v>16</v>
      </c>
      <c r="H25" s="13" t="n">
        <f aca="false">$C$3+(E25-1)*7</f>
        <v>46132</v>
      </c>
      <c r="I25" s="13" t="n">
        <f aca="false">H25</f>
        <v>46132</v>
      </c>
      <c r="J25" s="14" t="str">
        <f aca="false">IF(J$5=$E25,"◆","")</f>
        <v/>
      </c>
      <c r="K25" s="14" t="str">
        <f aca="false">IF(K$5=$E25,"◆","")</f>
        <v/>
      </c>
      <c r="L25" s="14" t="str">
        <f aca="false">IF(L$5=$E25,"◆","")</f>
        <v/>
      </c>
      <c r="M25" s="14" t="str">
        <f aca="false">IF(M$5=$E25,"◆","")</f>
        <v/>
      </c>
      <c r="N25" s="14" t="str">
        <f aca="false">IF(N$5=$E25,"◆","")</f>
        <v/>
      </c>
      <c r="O25" s="14" t="str">
        <f aca="false">IF(O$5=$E25,"◆","")</f>
        <v/>
      </c>
      <c r="P25" s="14" t="str">
        <f aca="false">IF(P$5=$E25,"◆","")</f>
        <v/>
      </c>
      <c r="Q25" s="14" t="str">
        <f aca="false">IF(Q$5=$E25,"◆","")</f>
        <v/>
      </c>
      <c r="R25" s="14" t="str">
        <f aca="false">IF(R$5=$E25,"◆","")</f>
        <v/>
      </c>
      <c r="S25" s="14" t="str">
        <f aca="false">IF(S$5=$E25,"◆","")</f>
        <v/>
      </c>
      <c r="T25" s="14" t="str">
        <f aca="false">IF(T$5=$E25,"◆","")</f>
        <v/>
      </c>
      <c r="U25" s="14" t="str">
        <f aca="false">IF(U$5=$E25,"◆","")</f>
        <v/>
      </c>
      <c r="V25" s="14" t="str">
        <f aca="false">IF(V$5=$E25,"◆","")</f>
        <v/>
      </c>
      <c r="W25" s="14" t="str">
        <f aca="false">IF(W$5=$E25,"◆","")</f>
        <v/>
      </c>
      <c r="X25" s="14" t="str">
        <f aca="false">IF(X$5=$E25,"◆","")</f>
        <v/>
      </c>
      <c r="Y25" s="14" t="str">
        <f aca="false">IF(Y$5=$E25,"◆","")</f>
        <v>◆</v>
      </c>
      <c r="Z25" s="14" t="str">
        <f aca="false">IF(Z$5=$E25,"◆","")</f>
        <v/>
      </c>
      <c r="AA25" s="14" t="str">
        <f aca="false">IF(AA$5=$E25,"◆","")</f>
        <v/>
      </c>
      <c r="AB25" s="14" t="str">
        <f aca="false">IF(AB$5=$E25,"◆","")</f>
        <v/>
      </c>
      <c r="AC25" s="14" t="str">
        <f aca="false">IF(AC$5=$E25,"◆","")</f>
        <v/>
      </c>
      <c r="AD25" s="14" t="str">
        <f aca="false">IF(AD$5=$E25,"◆","")</f>
        <v/>
      </c>
      <c r="AE25" s="14" t="str">
        <f aca="false">IF(AE$5=$E25,"◆","")</f>
        <v/>
      </c>
    </row>
    <row r="26" customFormat="false" ht="15" hidden="false" customHeight="false" outlineLevel="0" collapsed="false">
      <c r="A26" s="4" t="s">
        <v>96</v>
      </c>
      <c r="B26" s="4" t="s">
        <v>84</v>
      </c>
      <c r="C26" s="3" t="s">
        <v>97</v>
      </c>
      <c r="D26" s="4"/>
      <c r="E26" s="10" t="n">
        <v>17</v>
      </c>
      <c r="F26" s="10" t="n">
        <v>0</v>
      </c>
      <c r="G26" s="4" t="n">
        <f aca="false">E26</f>
        <v>17</v>
      </c>
      <c r="H26" s="13" t="n">
        <f aca="false">$C$3+(E26-1)*7</f>
        <v>46139</v>
      </c>
      <c r="I26" s="13" t="n">
        <f aca="false">H26</f>
        <v>46139</v>
      </c>
      <c r="J26" s="14" t="str">
        <f aca="false">IF(J$5=$E26,"◆","")</f>
        <v/>
      </c>
      <c r="K26" s="14" t="str">
        <f aca="false">IF(K$5=$E26,"◆","")</f>
        <v/>
      </c>
      <c r="L26" s="14" t="str">
        <f aca="false">IF(L$5=$E26,"◆","")</f>
        <v/>
      </c>
      <c r="M26" s="14" t="str">
        <f aca="false">IF(M$5=$E26,"◆","")</f>
        <v/>
      </c>
      <c r="N26" s="14" t="str">
        <f aca="false">IF(N$5=$E26,"◆","")</f>
        <v/>
      </c>
      <c r="O26" s="14" t="str">
        <f aca="false">IF(O$5=$E26,"◆","")</f>
        <v/>
      </c>
      <c r="P26" s="14" t="str">
        <f aca="false">IF(P$5=$E26,"◆","")</f>
        <v/>
      </c>
      <c r="Q26" s="14" t="str">
        <f aca="false">IF(Q$5=$E26,"◆","")</f>
        <v/>
      </c>
      <c r="R26" s="14" t="str">
        <f aca="false">IF(R$5=$E26,"◆","")</f>
        <v/>
      </c>
      <c r="S26" s="14" t="str">
        <f aca="false">IF(S$5=$E26,"◆","")</f>
        <v/>
      </c>
      <c r="T26" s="14" t="str">
        <f aca="false">IF(T$5=$E26,"◆","")</f>
        <v/>
      </c>
      <c r="U26" s="14" t="str">
        <f aca="false">IF(U$5=$E26,"◆","")</f>
        <v/>
      </c>
      <c r="V26" s="14" t="str">
        <f aca="false">IF(V$5=$E26,"◆","")</f>
        <v/>
      </c>
      <c r="W26" s="14" t="str">
        <f aca="false">IF(W$5=$E26,"◆","")</f>
        <v/>
      </c>
      <c r="X26" s="14" t="str">
        <f aca="false">IF(X$5=$E26,"◆","")</f>
        <v/>
      </c>
      <c r="Y26" s="14" t="str">
        <f aca="false">IF(Y$5=$E26,"◆","")</f>
        <v/>
      </c>
      <c r="Z26" s="14" t="str">
        <f aca="false">IF(Z$5=$E26,"◆","")</f>
        <v>◆</v>
      </c>
      <c r="AA26" s="14" t="str">
        <f aca="false">IF(AA$5=$E26,"◆","")</f>
        <v/>
      </c>
      <c r="AB26" s="14" t="str">
        <f aca="false">IF(AB$5=$E26,"◆","")</f>
        <v/>
      </c>
      <c r="AC26" s="14" t="str">
        <f aca="false">IF(AC$5=$E26,"◆","")</f>
        <v/>
      </c>
      <c r="AD26" s="14" t="str">
        <f aca="false">IF(AD$5=$E26,"◆","")</f>
        <v/>
      </c>
      <c r="AE26" s="14" t="str">
        <f aca="false">IF(AE$5=$E26,"◆","")</f>
        <v/>
      </c>
    </row>
    <row r="27" customFormat="false" ht="15" hidden="false" customHeight="false" outlineLevel="0" collapsed="false">
      <c r="A27" s="4" t="s">
        <v>98</v>
      </c>
      <c r="B27" s="4" t="s">
        <v>84</v>
      </c>
      <c r="C27" s="3" t="s">
        <v>99</v>
      </c>
      <c r="D27" s="4"/>
      <c r="E27" s="10" t="n">
        <v>18</v>
      </c>
      <c r="F27" s="10" t="n">
        <v>0</v>
      </c>
      <c r="G27" s="4" t="n">
        <f aca="false">E27</f>
        <v>18</v>
      </c>
      <c r="H27" s="13" t="n">
        <f aca="false">$C$3+(E27-1)*7</f>
        <v>46146</v>
      </c>
      <c r="I27" s="13" t="n">
        <f aca="false">H27</f>
        <v>46146</v>
      </c>
      <c r="J27" s="14" t="str">
        <f aca="false">IF(J$5=$E27,"◆","")</f>
        <v/>
      </c>
      <c r="K27" s="14" t="str">
        <f aca="false">IF(K$5=$E27,"◆","")</f>
        <v/>
      </c>
      <c r="L27" s="14" t="str">
        <f aca="false">IF(L$5=$E27,"◆","")</f>
        <v/>
      </c>
      <c r="M27" s="14" t="str">
        <f aca="false">IF(M$5=$E27,"◆","")</f>
        <v/>
      </c>
      <c r="N27" s="14" t="str">
        <f aca="false">IF(N$5=$E27,"◆","")</f>
        <v/>
      </c>
      <c r="O27" s="14" t="str">
        <f aca="false">IF(O$5=$E27,"◆","")</f>
        <v/>
      </c>
      <c r="P27" s="14" t="str">
        <f aca="false">IF(P$5=$E27,"◆","")</f>
        <v/>
      </c>
      <c r="Q27" s="14" t="str">
        <f aca="false">IF(Q$5=$E27,"◆","")</f>
        <v/>
      </c>
      <c r="R27" s="14" t="str">
        <f aca="false">IF(R$5=$E27,"◆","")</f>
        <v/>
      </c>
      <c r="S27" s="14" t="str">
        <f aca="false">IF(S$5=$E27,"◆","")</f>
        <v/>
      </c>
      <c r="T27" s="14" t="str">
        <f aca="false">IF(T$5=$E27,"◆","")</f>
        <v/>
      </c>
      <c r="U27" s="14" t="str">
        <f aca="false">IF(U$5=$E27,"◆","")</f>
        <v/>
      </c>
      <c r="V27" s="14" t="str">
        <f aca="false">IF(V$5=$E27,"◆","")</f>
        <v/>
      </c>
      <c r="W27" s="14" t="str">
        <f aca="false">IF(W$5=$E27,"◆","")</f>
        <v/>
      </c>
      <c r="X27" s="14" t="str">
        <f aca="false">IF(X$5=$E27,"◆","")</f>
        <v/>
      </c>
      <c r="Y27" s="14" t="str">
        <f aca="false">IF(Y$5=$E27,"◆","")</f>
        <v/>
      </c>
      <c r="Z27" s="14" t="str">
        <f aca="false">IF(Z$5=$E27,"◆","")</f>
        <v/>
      </c>
      <c r="AA27" s="14" t="str">
        <f aca="false">IF(AA$5=$E27,"◆","")</f>
        <v>◆</v>
      </c>
      <c r="AB27" s="14" t="str">
        <f aca="false">IF(AB$5=$E27,"◆","")</f>
        <v/>
      </c>
      <c r="AC27" s="14" t="str">
        <f aca="false">IF(AC$5=$E27,"◆","")</f>
        <v/>
      </c>
      <c r="AD27" s="14" t="str">
        <f aca="false">IF(AD$5=$E27,"◆","")</f>
        <v/>
      </c>
      <c r="AE27" s="14" t="str">
        <f aca="false">IF(AE$5=$E27,"◆","")</f>
        <v/>
      </c>
    </row>
    <row r="28" customFormat="false" ht="15" hidden="false" customHeight="false" outlineLevel="0" collapsed="false">
      <c r="A28" s="4" t="s">
        <v>100</v>
      </c>
      <c r="B28" s="4" t="s">
        <v>84</v>
      </c>
      <c r="C28" s="3" t="s">
        <v>101</v>
      </c>
      <c r="D28" s="4"/>
      <c r="E28" s="10" t="n">
        <v>21</v>
      </c>
      <c r="F28" s="10" t="n">
        <v>0</v>
      </c>
      <c r="G28" s="4" t="n">
        <f aca="false">E28</f>
        <v>21</v>
      </c>
      <c r="H28" s="13" t="n">
        <f aca="false">$C$3+(E28-1)*7</f>
        <v>46167</v>
      </c>
      <c r="I28" s="13" t="n">
        <f aca="false">H28</f>
        <v>46167</v>
      </c>
      <c r="J28" s="14" t="str">
        <f aca="false">IF(J$5=$E28,"◆","")</f>
        <v/>
      </c>
      <c r="K28" s="14" t="str">
        <f aca="false">IF(K$5=$E28,"◆","")</f>
        <v/>
      </c>
      <c r="L28" s="14" t="str">
        <f aca="false">IF(L$5=$E28,"◆","")</f>
        <v/>
      </c>
      <c r="M28" s="14" t="str">
        <f aca="false">IF(M$5=$E28,"◆","")</f>
        <v/>
      </c>
      <c r="N28" s="14" t="str">
        <f aca="false">IF(N$5=$E28,"◆","")</f>
        <v/>
      </c>
      <c r="O28" s="14" t="str">
        <f aca="false">IF(O$5=$E28,"◆","")</f>
        <v/>
      </c>
      <c r="P28" s="14" t="str">
        <f aca="false">IF(P$5=$E28,"◆","")</f>
        <v/>
      </c>
      <c r="Q28" s="14" t="str">
        <f aca="false">IF(Q$5=$E28,"◆","")</f>
        <v/>
      </c>
      <c r="R28" s="14" t="str">
        <f aca="false">IF(R$5=$E28,"◆","")</f>
        <v/>
      </c>
      <c r="S28" s="14" t="str">
        <f aca="false">IF(S$5=$E28,"◆","")</f>
        <v/>
      </c>
      <c r="T28" s="14" t="str">
        <f aca="false">IF(T$5=$E28,"◆","")</f>
        <v/>
      </c>
      <c r="U28" s="14" t="str">
        <f aca="false">IF(U$5=$E28,"◆","")</f>
        <v/>
      </c>
      <c r="V28" s="14" t="str">
        <f aca="false">IF(V$5=$E28,"◆","")</f>
        <v/>
      </c>
      <c r="W28" s="14" t="str">
        <f aca="false">IF(W$5=$E28,"◆","")</f>
        <v/>
      </c>
      <c r="X28" s="14" t="str">
        <f aca="false">IF(X$5=$E28,"◆","")</f>
        <v/>
      </c>
      <c r="Y28" s="14" t="str">
        <f aca="false">IF(Y$5=$E28,"◆","")</f>
        <v/>
      </c>
      <c r="Z28" s="14" t="str">
        <f aca="false">IF(Z$5=$E28,"◆","")</f>
        <v/>
      </c>
      <c r="AA28" s="14" t="str">
        <f aca="false">IF(AA$5=$E28,"◆","")</f>
        <v/>
      </c>
      <c r="AB28" s="14" t="str">
        <f aca="false">IF(AB$5=$E28,"◆","")</f>
        <v/>
      </c>
      <c r="AC28" s="14" t="str">
        <f aca="false">IF(AC$5=$E28,"◆","")</f>
        <v/>
      </c>
      <c r="AD28" s="14" t="str">
        <f aca="false">IF(AD$5=$E28,"◆","")</f>
        <v>◆</v>
      </c>
      <c r="AE28" s="14" t="str">
        <f aca="false">IF(AE$5=$E28,"◆","")</f>
        <v/>
      </c>
    </row>
  </sheetData>
  <conditionalFormatting sqref="J6:AE28">
    <cfRule type="cellIs" priority="2" operator="equal" aboveAverage="0" equalAverage="0" bottom="0" percent="0" rank="0" text="" dxfId="0">
      <formula>1</formula>
    </cfRule>
    <cfRule type="expression" priority="3" aboveAverage="0" equalAverage="0" bottom="0" percent="0" rank="0" text="" dxfId="1">
      <formula>J6="◆"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5" min="4" style="0" width="11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6" t="s">
        <v>103</v>
      </c>
      <c r="B4" s="6" t="s">
        <v>104</v>
      </c>
      <c r="C4" s="6" t="s">
        <v>105</v>
      </c>
      <c r="D4" s="6" t="s">
        <v>106</v>
      </c>
      <c r="E4" s="6" t="s">
        <v>107</v>
      </c>
      <c r="F4" s="6" t="s">
        <v>108</v>
      </c>
    </row>
    <row r="5" customFormat="false" ht="26.85" hidden="false" customHeight="false" outlineLevel="0" collapsed="false">
      <c r="A5" s="15" t="s">
        <v>109</v>
      </c>
      <c r="B5" s="15" t="s">
        <v>110</v>
      </c>
      <c r="C5" s="15" t="s">
        <v>111</v>
      </c>
      <c r="D5" s="15" t="s">
        <v>112</v>
      </c>
      <c r="E5" s="15" t="s">
        <v>112</v>
      </c>
      <c r="F5" s="15" t="s">
        <v>113</v>
      </c>
    </row>
    <row r="6" customFormat="false" ht="26.85" hidden="false" customHeight="false" outlineLevel="0" collapsed="false">
      <c r="A6" s="15" t="s">
        <v>114</v>
      </c>
      <c r="B6" s="15" t="s">
        <v>115</v>
      </c>
      <c r="C6" s="15" t="s">
        <v>116</v>
      </c>
      <c r="D6" s="15" t="s">
        <v>112</v>
      </c>
      <c r="E6" s="15" t="s">
        <v>112</v>
      </c>
      <c r="F6" s="15" t="s">
        <v>117</v>
      </c>
    </row>
    <row r="7" customFormat="false" ht="26.85" hidden="false" customHeight="false" outlineLevel="0" collapsed="false">
      <c r="A7" s="15" t="s">
        <v>118</v>
      </c>
      <c r="B7" s="15" t="s">
        <v>119</v>
      </c>
      <c r="C7" s="15" t="s">
        <v>120</v>
      </c>
      <c r="D7" s="15" t="s">
        <v>112</v>
      </c>
      <c r="E7" s="15" t="s">
        <v>112</v>
      </c>
      <c r="F7" s="15" t="s">
        <v>121</v>
      </c>
    </row>
    <row r="8" customFormat="false" ht="26.85" hidden="false" customHeight="false" outlineLevel="0" collapsed="false">
      <c r="A8" s="15" t="s">
        <v>122</v>
      </c>
      <c r="B8" s="15" t="s">
        <v>123</v>
      </c>
      <c r="C8" s="15" t="s">
        <v>124</v>
      </c>
      <c r="D8" s="15" t="s">
        <v>125</v>
      </c>
      <c r="E8" s="15" t="s">
        <v>112</v>
      </c>
      <c r="F8" s="15" t="s">
        <v>126</v>
      </c>
    </row>
    <row r="9" customFormat="false" ht="26.85" hidden="false" customHeight="false" outlineLevel="0" collapsed="false">
      <c r="A9" s="15" t="s">
        <v>127</v>
      </c>
      <c r="B9" s="15" t="s">
        <v>128</v>
      </c>
      <c r="C9" s="15" t="s">
        <v>129</v>
      </c>
      <c r="D9" s="15" t="s">
        <v>125</v>
      </c>
      <c r="E9" s="15" t="s">
        <v>112</v>
      </c>
      <c r="F9" s="15" t="s">
        <v>130</v>
      </c>
    </row>
    <row r="10" customFormat="false" ht="26.85" hidden="false" customHeight="false" outlineLevel="0" collapsed="false">
      <c r="A10" s="15" t="s">
        <v>51</v>
      </c>
      <c r="B10" s="15" t="s">
        <v>131</v>
      </c>
      <c r="C10" s="15" t="s">
        <v>132</v>
      </c>
      <c r="D10" s="15" t="s">
        <v>112</v>
      </c>
      <c r="E10" s="15" t="s">
        <v>125</v>
      </c>
      <c r="F10" s="15" t="s">
        <v>133</v>
      </c>
    </row>
    <row r="11" customFormat="false" ht="15" hidden="false" customHeight="false" outlineLevel="0" collapsed="false">
      <c r="A11" s="15" t="s">
        <v>134</v>
      </c>
      <c r="B11" s="15" t="s">
        <v>135</v>
      </c>
      <c r="C11" s="15" t="s">
        <v>136</v>
      </c>
      <c r="D11" s="15" t="s">
        <v>125</v>
      </c>
      <c r="E11" s="15" t="s">
        <v>125</v>
      </c>
      <c r="F11" s="15" t="s">
        <v>137</v>
      </c>
    </row>
    <row r="12" customFormat="false" ht="26.85" hidden="false" customHeight="false" outlineLevel="0" collapsed="false">
      <c r="A12" s="15" t="s">
        <v>138</v>
      </c>
      <c r="B12" s="15" t="s">
        <v>139</v>
      </c>
      <c r="C12" s="15" t="s">
        <v>140</v>
      </c>
      <c r="D12" s="15" t="s">
        <v>141</v>
      </c>
      <c r="E12" s="15" t="s">
        <v>112</v>
      </c>
      <c r="F12" s="15" t="s">
        <v>142</v>
      </c>
    </row>
    <row r="13" customFormat="false" ht="26.85" hidden="false" customHeight="false" outlineLevel="0" collapsed="false">
      <c r="A13" s="15" t="s">
        <v>143</v>
      </c>
      <c r="B13" s="15" t="s">
        <v>144</v>
      </c>
      <c r="C13" s="15" t="s">
        <v>145</v>
      </c>
      <c r="D13" s="15" t="s">
        <v>141</v>
      </c>
      <c r="E13" s="15" t="s">
        <v>125</v>
      </c>
      <c r="F13" s="15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6" t="s">
        <v>148</v>
      </c>
      <c r="B4" s="6" t="s">
        <v>4</v>
      </c>
      <c r="C4" s="6" t="s">
        <v>149</v>
      </c>
      <c r="D4" s="6" t="s">
        <v>48</v>
      </c>
      <c r="E4" s="6" t="s">
        <v>60</v>
      </c>
      <c r="F4" s="6" t="s">
        <v>72</v>
      </c>
      <c r="G4" s="6" t="s">
        <v>55</v>
      </c>
      <c r="H4" s="6" t="s">
        <v>51</v>
      </c>
      <c r="I4" s="6" t="s">
        <v>150</v>
      </c>
    </row>
    <row r="5" customFormat="false" ht="15" hidden="false" customHeight="false" outlineLevel="0" collapsed="false">
      <c r="A5" s="15" t="s">
        <v>151</v>
      </c>
      <c r="B5" s="16" t="s">
        <v>152</v>
      </c>
      <c r="C5" s="16" t="s">
        <v>153</v>
      </c>
      <c r="D5" s="16" t="s">
        <v>154</v>
      </c>
      <c r="E5" s="16" t="s">
        <v>154</v>
      </c>
      <c r="F5" s="16" t="s">
        <v>155</v>
      </c>
      <c r="G5" s="16" t="s">
        <v>155</v>
      </c>
      <c r="H5" s="16" t="s">
        <v>155</v>
      </c>
      <c r="I5" s="4" t="n">
        <f aca="false">COUNTIF(B5:H5,"A")</f>
        <v>1</v>
      </c>
    </row>
    <row r="6" customFormat="false" ht="15" hidden="false" customHeight="false" outlineLevel="0" collapsed="false">
      <c r="A6" s="15" t="s">
        <v>156</v>
      </c>
      <c r="B6" s="16" t="s">
        <v>155</v>
      </c>
      <c r="C6" s="16" t="s">
        <v>152</v>
      </c>
      <c r="D6" s="16" t="s">
        <v>153</v>
      </c>
      <c r="E6" s="16" t="s">
        <v>154</v>
      </c>
      <c r="F6" s="16" t="s">
        <v>153</v>
      </c>
      <c r="G6" s="16" t="s">
        <v>154</v>
      </c>
      <c r="H6" s="16" t="s">
        <v>155</v>
      </c>
      <c r="I6" s="4" t="n">
        <f aca="false">COUNTIF(B6:H6,"A")</f>
        <v>1</v>
      </c>
    </row>
    <row r="7" customFormat="false" ht="15" hidden="false" customHeight="false" outlineLevel="0" collapsed="false">
      <c r="A7" s="15" t="s">
        <v>157</v>
      </c>
      <c r="B7" s="16" t="s">
        <v>155</v>
      </c>
      <c r="C7" s="16" t="s">
        <v>152</v>
      </c>
      <c r="D7" s="16" t="s">
        <v>154</v>
      </c>
      <c r="E7" s="16" t="s">
        <v>153</v>
      </c>
      <c r="F7" s="16" t="s">
        <v>155</v>
      </c>
      <c r="G7" s="16" t="s">
        <v>153</v>
      </c>
      <c r="H7" s="16" t="s">
        <v>155</v>
      </c>
      <c r="I7" s="4" t="n">
        <f aca="false">COUNTIF(B7:H7,"A")</f>
        <v>1</v>
      </c>
    </row>
    <row r="8" customFormat="false" ht="15" hidden="false" customHeight="false" outlineLevel="0" collapsed="false">
      <c r="A8" s="15" t="s">
        <v>50</v>
      </c>
      <c r="B8" s="16" t="s">
        <v>155</v>
      </c>
      <c r="C8" s="16" t="s">
        <v>152</v>
      </c>
      <c r="D8" s="16" t="s">
        <v>154</v>
      </c>
      <c r="E8" s="16" t="s">
        <v>154</v>
      </c>
      <c r="F8" s="16" t="s">
        <v>155</v>
      </c>
      <c r="G8" s="16" t="s">
        <v>154</v>
      </c>
      <c r="H8" s="16" t="s">
        <v>153</v>
      </c>
      <c r="I8" s="4" t="n">
        <f aca="false">COUNTIF(B8:H8,"A")</f>
        <v>1</v>
      </c>
    </row>
    <row r="9" customFormat="false" ht="15" hidden="false" customHeight="false" outlineLevel="0" collapsed="false">
      <c r="A9" s="15" t="s">
        <v>158</v>
      </c>
      <c r="B9" s="16" t="s">
        <v>155</v>
      </c>
      <c r="C9" s="16" t="s">
        <v>152</v>
      </c>
      <c r="D9" s="16" t="s">
        <v>154</v>
      </c>
      <c r="E9" s="16" t="s">
        <v>153</v>
      </c>
      <c r="F9" s="16" t="s">
        <v>153</v>
      </c>
      <c r="G9" s="16" t="s">
        <v>153</v>
      </c>
      <c r="H9" s="16" t="s">
        <v>155</v>
      </c>
      <c r="I9" s="4" t="n">
        <f aca="false">COUNTIF(B9:H9,"A")</f>
        <v>1</v>
      </c>
    </row>
    <row r="10" customFormat="false" ht="15" hidden="false" customHeight="false" outlineLevel="0" collapsed="false">
      <c r="A10" s="15" t="s">
        <v>159</v>
      </c>
      <c r="B10" s="16" t="s">
        <v>155</v>
      </c>
      <c r="C10" s="16" t="s">
        <v>152</v>
      </c>
      <c r="D10" s="16" t="s">
        <v>154</v>
      </c>
      <c r="E10" s="16" t="s">
        <v>155</v>
      </c>
      <c r="F10" s="16" t="s">
        <v>153</v>
      </c>
      <c r="G10" s="16" t="s">
        <v>153</v>
      </c>
      <c r="H10" s="16" t="s">
        <v>155</v>
      </c>
      <c r="I10" s="4" t="n">
        <f aca="false">COUNTIF(B10:H10,"A")</f>
        <v>1</v>
      </c>
    </row>
    <row r="11" customFormat="false" ht="15" hidden="false" customHeight="false" outlineLevel="0" collapsed="false">
      <c r="A11" s="15" t="s">
        <v>95</v>
      </c>
      <c r="B11" s="16" t="s">
        <v>155</v>
      </c>
      <c r="C11" s="16" t="s">
        <v>153</v>
      </c>
      <c r="D11" s="16" t="s">
        <v>152</v>
      </c>
      <c r="E11" s="16" t="s">
        <v>154</v>
      </c>
      <c r="F11" s="16" t="s">
        <v>153</v>
      </c>
      <c r="G11" s="16" t="s">
        <v>154</v>
      </c>
      <c r="H11" s="16" t="s">
        <v>155</v>
      </c>
      <c r="I11" s="4" t="n">
        <f aca="false">COUNTIF(B11:H11,"A")</f>
        <v>1</v>
      </c>
    </row>
    <row r="12" customFormat="false" ht="15" hidden="false" customHeight="false" outlineLevel="0" collapsed="false">
      <c r="A12" s="15" t="s">
        <v>97</v>
      </c>
      <c r="B12" s="16" t="s">
        <v>152</v>
      </c>
      <c r="C12" s="16" t="s">
        <v>153</v>
      </c>
      <c r="D12" s="16" t="s">
        <v>154</v>
      </c>
      <c r="E12" s="16" t="s">
        <v>154</v>
      </c>
      <c r="F12" s="16" t="s">
        <v>154</v>
      </c>
      <c r="G12" s="16" t="s">
        <v>154</v>
      </c>
      <c r="H12" s="16" t="s">
        <v>154</v>
      </c>
      <c r="I12" s="4" t="n">
        <f aca="false">COUNTIF(B12:H12,"A")</f>
        <v>1</v>
      </c>
    </row>
    <row r="13" customFormat="false" ht="15" hidden="false" customHeight="false" outlineLevel="0" collapsed="false">
      <c r="A13" s="15" t="s">
        <v>160</v>
      </c>
      <c r="B13" s="16" t="s">
        <v>155</v>
      </c>
      <c r="C13" s="16" t="s">
        <v>152</v>
      </c>
      <c r="D13" s="16" t="s">
        <v>154</v>
      </c>
      <c r="E13" s="16" t="s">
        <v>153</v>
      </c>
      <c r="F13" s="16" t="s">
        <v>153</v>
      </c>
      <c r="G13" s="16" t="s">
        <v>153</v>
      </c>
      <c r="H13" s="16" t="s">
        <v>155</v>
      </c>
      <c r="I13" s="4" t="n">
        <f aca="false">COUNTIF(B13:H13,"A")</f>
        <v>1</v>
      </c>
    </row>
    <row r="15" customFormat="false" ht="15" hidden="false" customHeight="false" outlineLevel="0" collapsed="false">
      <c r="A15" s="17" t="s">
        <v>161</v>
      </c>
    </row>
  </sheetData>
  <conditionalFormatting sqref="B5:H13">
    <cfRule type="cellIs" priority="2" operator="equal" aboveAverage="0" equalAverage="0" bottom="0" percent="0" rank="0" text="" dxfId="6">
      <formula>"A"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46"/>
    <col collapsed="false" customWidth="true" hidden="false" outlineLevel="0" max="9" min="9" style="0" width="16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6" t="s">
        <v>163</v>
      </c>
      <c r="B4" s="6" t="s">
        <v>32</v>
      </c>
      <c r="C4" s="6" t="s">
        <v>164</v>
      </c>
      <c r="D4" s="6" t="s">
        <v>165</v>
      </c>
      <c r="E4" s="6" t="s">
        <v>166</v>
      </c>
      <c r="F4" s="6" t="s">
        <v>167</v>
      </c>
      <c r="G4" s="6" t="s">
        <v>35</v>
      </c>
      <c r="H4" s="6" t="s">
        <v>168</v>
      </c>
      <c r="I4" s="6" t="s">
        <v>169</v>
      </c>
      <c r="J4" s="6" t="s">
        <v>170</v>
      </c>
    </row>
    <row r="5" customFormat="false" ht="39.55" hidden="false" customHeight="false" outlineLevel="0" collapsed="false">
      <c r="A5" s="15" t="s">
        <v>171</v>
      </c>
      <c r="B5" s="15" t="s">
        <v>172</v>
      </c>
      <c r="C5" s="15" t="s">
        <v>173</v>
      </c>
      <c r="D5" s="18" t="n">
        <v>3</v>
      </c>
      <c r="E5" s="18" t="n">
        <v>5</v>
      </c>
      <c r="F5" s="19" t="n">
        <f aca="false">IF(AND(ISNUMBER(D5),ISNUMBER(E5)),D5*E5,"")</f>
        <v>15</v>
      </c>
      <c r="G5" s="15" t="s">
        <v>60</v>
      </c>
      <c r="H5" s="15" t="s">
        <v>174</v>
      </c>
      <c r="I5" s="15" t="s">
        <v>175</v>
      </c>
      <c r="J5" s="15" t="n">
        <v>10</v>
      </c>
    </row>
    <row r="6" customFormat="false" ht="26.85" hidden="false" customHeight="false" outlineLevel="0" collapsed="false">
      <c r="A6" s="15" t="s">
        <v>171</v>
      </c>
      <c r="B6" s="15" t="s">
        <v>176</v>
      </c>
      <c r="C6" s="15" t="s">
        <v>177</v>
      </c>
      <c r="D6" s="18" t="n">
        <v>3</v>
      </c>
      <c r="E6" s="18" t="n">
        <v>4</v>
      </c>
      <c r="F6" s="19" t="n">
        <f aca="false">IF(AND(ISNUMBER(D6),ISNUMBER(E6)),D6*E6,"")</f>
        <v>12</v>
      </c>
      <c r="G6" s="15" t="s">
        <v>72</v>
      </c>
      <c r="H6" s="15" t="s">
        <v>178</v>
      </c>
      <c r="I6" s="15" t="s">
        <v>179</v>
      </c>
      <c r="J6" s="15" t="n">
        <v>12</v>
      </c>
    </row>
    <row r="7" customFormat="false" ht="26.85" hidden="false" customHeight="false" outlineLevel="0" collapsed="false">
      <c r="A7" s="15" t="s">
        <v>171</v>
      </c>
      <c r="B7" s="15" t="s">
        <v>180</v>
      </c>
      <c r="C7" s="15" t="s">
        <v>181</v>
      </c>
      <c r="D7" s="18" t="n">
        <v>2</v>
      </c>
      <c r="E7" s="18" t="n">
        <v>5</v>
      </c>
      <c r="F7" s="19" t="n">
        <f aca="false">IF(AND(ISNUMBER(D7),ISNUMBER(E7)),D7*E7,"")</f>
        <v>10</v>
      </c>
      <c r="G7" s="15" t="s">
        <v>60</v>
      </c>
      <c r="H7" s="15" t="s">
        <v>182</v>
      </c>
      <c r="I7" s="15" t="s">
        <v>179</v>
      </c>
      <c r="J7" s="15" t="n">
        <v>12</v>
      </c>
    </row>
    <row r="8" customFormat="false" ht="26.85" hidden="false" customHeight="false" outlineLevel="0" collapsed="false">
      <c r="A8" s="15" t="s">
        <v>171</v>
      </c>
      <c r="B8" s="15" t="s">
        <v>183</v>
      </c>
      <c r="C8" s="15" t="s">
        <v>184</v>
      </c>
      <c r="D8" s="18" t="n">
        <v>2</v>
      </c>
      <c r="E8" s="18" t="n">
        <v>5</v>
      </c>
      <c r="F8" s="19" t="n">
        <f aca="false">IF(AND(ISNUMBER(D8),ISNUMBER(E8)),D8*E8,"")</f>
        <v>10</v>
      </c>
      <c r="G8" s="15" t="s">
        <v>51</v>
      </c>
      <c r="H8" s="15" t="s">
        <v>185</v>
      </c>
      <c r="I8" s="15" t="s">
        <v>186</v>
      </c>
      <c r="J8" s="15" t="n">
        <v>6</v>
      </c>
    </row>
    <row r="9" customFormat="false" ht="26.85" hidden="false" customHeight="false" outlineLevel="0" collapsed="false">
      <c r="A9" s="15" t="s">
        <v>171</v>
      </c>
      <c r="B9" s="15" t="s">
        <v>187</v>
      </c>
      <c r="C9" s="15" t="s">
        <v>188</v>
      </c>
      <c r="D9" s="18" t="n">
        <v>3</v>
      </c>
      <c r="E9" s="18" t="n">
        <v>3</v>
      </c>
      <c r="F9" s="19" t="n">
        <f aca="false">IF(AND(ISNUMBER(D9),ISNUMBER(E9)),D9*E9,"")</f>
        <v>9</v>
      </c>
      <c r="G9" s="15" t="s">
        <v>48</v>
      </c>
      <c r="H9" s="15" t="s">
        <v>189</v>
      </c>
      <c r="I9" s="15" t="s">
        <v>179</v>
      </c>
      <c r="J9" s="15" t="n">
        <v>13</v>
      </c>
    </row>
    <row r="10" customFormat="false" ht="26.85" hidden="false" customHeight="false" outlineLevel="0" collapsed="false">
      <c r="A10" s="15" t="s">
        <v>190</v>
      </c>
      <c r="B10" s="15" t="s">
        <v>191</v>
      </c>
      <c r="C10" s="15" t="s">
        <v>192</v>
      </c>
      <c r="D10" s="15"/>
      <c r="E10" s="15"/>
      <c r="F10" s="19" t="str">
        <f aca="false">IF(AND(ISNUMBER(D10),ISNUMBER(E10)),D10*E10,"")</f>
        <v/>
      </c>
      <c r="G10" s="15" t="s">
        <v>60</v>
      </c>
      <c r="H10" s="15" t="s">
        <v>193</v>
      </c>
      <c r="I10" s="15" t="s">
        <v>194</v>
      </c>
      <c r="J10" s="15" t="n">
        <v>4</v>
      </c>
    </row>
    <row r="11" customFormat="false" ht="39.55" hidden="false" customHeight="false" outlineLevel="0" collapsed="false">
      <c r="A11" s="15" t="s">
        <v>195</v>
      </c>
      <c r="B11" s="15" t="s">
        <v>196</v>
      </c>
      <c r="C11" s="15" t="s">
        <v>197</v>
      </c>
      <c r="D11" s="18" t="n">
        <v>5</v>
      </c>
      <c r="E11" s="18" t="n">
        <v>4</v>
      </c>
      <c r="F11" s="19" t="n">
        <f aca="false">IF(AND(ISNUMBER(D11),ISNUMBER(E11)),D11*E11,"")</f>
        <v>20</v>
      </c>
      <c r="G11" s="15" t="s">
        <v>44</v>
      </c>
      <c r="H11" s="15" t="s">
        <v>198</v>
      </c>
      <c r="I11" s="15" t="s">
        <v>199</v>
      </c>
      <c r="J11" s="15" t="n">
        <v>12</v>
      </c>
    </row>
    <row r="12" customFormat="false" ht="26.85" hidden="false" customHeight="false" outlineLevel="0" collapsed="false">
      <c r="A12" s="15" t="s">
        <v>200</v>
      </c>
      <c r="B12" s="15" t="s">
        <v>201</v>
      </c>
      <c r="C12" s="15" t="s">
        <v>202</v>
      </c>
      <c r="D12" s="15"/>
      <c r="E12" s="15"/>
      <c r="F12" s="19" t="str">
        <f aca="false">IF(AND(ISNUMBER(D12),ISNUMBER(E12)),D12*E12,"")</f>
        <v/>
      </c>
      <c r="G12" s="15" t="s">
        <v>60</v>
      </c>
      <c r="H12" s="15" t="s">
        <v>203</v>
      </c>
      <c r="I12" s="15" t="s">
        <v>179</v>
      </c>
      <c r="J12" s="15" t="n">
        <v>11</v>
      </c>
    </row>
    <row r="13" customFormat="false" ht="26.85" hidden="false" customHeight="false" outlineLevel="0" collapsed="false">
      <c r="A13" s="15" t="s">
        <v>200</v>
      </c>
      <c r="B13" s="15" t="s">
        <v>204</v>
      </c>
      <c r="C13" s="15" t="s">
        <v>205</v>
      </c>
      <c r="D13" s="15"/>
      <c r="E13" s="15"/>
      <c r="F13" s="19" t="str">
        <f aca="false">IF(AND(ISNUMBER(D13),ISNUMBER(E13)),D13*E13,"")</f>
        <v/>
      </c>
      <c r="G13" s="15" t="s">
        <v>51</v>
      </c>
      <c r="H13" s="15" t="s">
        <v>206</v>
      </c>
      <c r="I13" s="15" t="s">
        <v>186</v>
      </c>
      <c r="J13" s="15" t="n">
        <v>6</v>
      </c>
    </row>
    <row r="15" customFormat="false" ht="15" hidden="false" customHeight="false" outlineLevel="0" collapsed="false">
      <c r="A15" s="3" t="s">
        <v>207</v>
      </c>
      <c r="C15" s="4" t="n">
        <f aca="false">COUNTIFS(A5:A13,"Risk",F5:F13,"&gt;=15",I5:I13,"Open")</f>
        <v>0</v>
      </c>
    </row>
  </sheetData>
  <conditionalFormatting sqref="F5:F13">
    <cfRule type="expression" priority="2" aboveAverage="0" equalAverage="0" bottom="0" percent="0" rank="0" text="" dxfId="11">
      <formula>AND(ISNUMBER(F5),F5&gt;=15)</formula>
    </cfRule>
    <cfRule type="expression" priority="3" aboveAverage="0" equalAverage="0" bottom="0" percent="0" rank="0" text="" dxfId="12">
      <formula>AND(ISNUMBER(F5),F5&gt;=8,F5&lt;15)</formula>
    </cfRule>
    <cfRule type="expression" priority="4" aboveAverage="0" equalAverage="0" bottom="0" percent="0" rank="0" text="" dxfId="13">
      <formula>AND(ISNUMBER(F5),F5&lt;8)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4"/>
    <col collapsed="false" customWidth="true" hidden="false" outlineLevel="0" max="4" min="4" style="0" width="22"/>
    <col collapsed="false" customWidth="true" hidden="false" outlineLevel="0" max="6" min="5" style="0" width="20"/>
  </cols>
  <sheetData>
    <row r="1" customFormat="false" ht="17.35" hidden="false" customHeight="false" outlineLevel="0" collapsed="false">
      <c r="A1" s="1" t="s">
        <v>208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6" t="s">
        <v>209</v>
      </c>
      <c r="B4" s="6" t="s">
        <v>210</v>
      </c>
      <c r="C4" s="6" t="s">
        <v>211</v>
      </c>
      <c r="D4" s="6" t="s">
        <v>212</v>
      </c>
      <c r="E4" s="6" t="s">
        <v>35</v>
      </c>
      <c r="F4" s="6" t="s">
        <v>213</v>
      </c>
    </row>
    <row r="5" customFormat="false" ht="26.85" hidden="false" customHeight="false" outlineLevel="0" collapsed="false">
      <c r="A5" s="15" t="s">
        <v>214</v>
      </c>
      <c r="B5" s="15" t="s">
        <v>215</v>
      </c>
      <c r="C5" s="15" t="s">
        <v>216</v>
      </c>
      <c r="D5" s="15" t="s">
        <v>217</v>
      </c>
      <c r="E5" s="15" t="s">
        <v>44</v>
      </c>
      <c r="F5" s="15" t="s">
        <v>4</v>
      </c>
    </row>
    <row r="6" customFormat="false" ht="15" hidden="false" customHeight="false" outlineLevel="0" collapsed="false">
      <c r="A6" s="15" t="s">
        <v>218</v>
      </c>
      <c r="B6" s="15" t="s">
        <v>219</v>
      </c>
      <c r="C6" s="15" t="s">
        <v>220</v>
      </c>
      <c r="D6" s="15" t="s">
        <v>221</v>
      </c>
      <c r="E6" s="15" t="s">
        <v>44</v>
      </c>
      <c r="F6" s="15" t="s">
        <v>214</v>
      </c>
    </row>
    <row r="7" customFormat="false" ht="15" hidden="false" customHeight="false" outlineLevel="0" collapsed="false">
      <c r="A7" s="15" t="s">
        <v>222</v>
      </c>
      <c r="B7" s="15" t="s">
        <v>223</v>
      </c>
      <c r="C7" s="15" t="s">
        <v>224</v>
      </c>
      <c r="D7" s="15" t="s">
        <v>221</v>
      </c>
      <c r="E7" s="15" t="s">
        <v>44</v>
      </c>
      <c r="F7" s="15" t="s">
        <v>4</v>
      </c>
    </row>
    <row r="8" customFormat="false" ht="15" hidden="false" customHeight="false" outlineLevel="0" collapsed="false">
      <c r="A8" s="15" t="s">
        <v>55</v>
      </c>
      <c r="B8" s="15" t="s">
        <v>225</v>
      </c>
      <c r="C8" s="15" t="s">
        <v>226</v>
      </c>
      <c r="D8" s="15" t="s">
        <v>221</v>
      </c>
      <c r="E8" s="15" t="s">
        <v>60</v>
      </c>
      <c r="F8" s="15" t="s">
        <v>227</v>
      </c>
    </row>
    <row r="9" customFormat="false" ht="26.85" hidden="false" customHeight="false" outlineLevel="0" collapsed="false">
      <c r="A9" s="15" t="s">
        <v>228</v>
      </c>
      <c r="B9" s="15" t="s">
        <v>229</v>
      </c>
      <c r="C9" s="15" t="s">
        <v>230</v>
      </c>
      <c r="D9" s="15" t="s">
        <v>231</v>
      </c>
      <c r="E9" s="15" t="s">
        <v>48</v>
      </c>
      <c r="F9" s="15" t="s">
        <v>44</v>
      </c>
    </row>
    <row r="10" customFormat="false" ht="26.85" hidden="false" customHeight="false" outlineLevel="0" collapsed="false">
      <c r="A10" s="15" t="s">
        <v>138</v>
      </c>
      <c r="B10" s="15" t="s">
        <v>232</v>
      </c>
      <c r="C10" s="15" t="s">
        <v>233</v>
      </c>
      <c r="D10" s="15" t="s">
        <v>234</v>
      </c>
      <c r="E10" s="15" t="s">
        <v>72</v>
      </c>
      <c r="F10" s="15" t="s">
        <v>44</v>
      </c>
    </row>
    <row r="11" customFormat="false" ht="15" hidden="false" customHeight="false" outlineLevel="0" collapsed="false">
      <c r="A11" s="15" t="s">
        <v>235</v>
      </c>
      <c r="B11" s="15" t="s">
        <v>236</v>
      </c>
      <c r="C11" s="15" t="s">
        <v>237</v>
      </c>
      <c r="D11" s="15" t="s">
        <v>238</v>
      </c>
      <c r="E11" s="15" t="s">
        <v>48</v>
      </c>
      <c r="F11" s="15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240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6" t="s">
        <v>241</v>
      </c>
      <c r="B4" s="6" t="s">
        <v>242</v>
      </c>
      <c r="C4" s="6" t="s">
        <v>243</v>
      </c>
    </row>
    <row r="5" customFormat="false" ht="15" hidden="false" customHeight="false" outlineLevel="0" collapsed="false">
      <c r="A5" s="15" t="s">
        <v>244</v>
      </c>
      <c r="B5" s="20" t="n">
        <v>410000</v>
      </c>
      <c r="C5" s="15" t="s">
        <v>245</v>
      </c>
    </row>
    <row r="6" customFormat="false" ht="15" hidden="false" customHeight="false" outlineLevel="0" collapsed="false">
      <c r="A6" s="15" t="s">
        <v>246</v>
      </c>
      <c r="B6" s="20" t="n">
        <v>150000</v>
      </c>
      <c r="C6" s="15" t="s">
        <v>247</v>
      </c>
    </row>
    <row r="7" customFormat="false" ht="15" hidden="false" customHeight="false" outlineLevel="0" collapsed="false">
      <c r="A7" s="15" t="s">
        <v>248</v>
      </c>
      <c r="B7" s="20" t="n">
        <v>45000</v>
      </c>
      <c r="C7" s="15" t="s">
        <v>249</v>
      </c>
    </row>
    <row r="8" customFormat="false" ht="15" hidden="false" customHeight="false" outlineLevel="0" collapsed="false">
      <c r="A8" s="15" t="s">
        <v>250</v>
      </c>
      <c r="B8" s="20" t="n">
        <v>90000</v>
      </c>
      <c r="C8" s="15" t="s">
        <v>251</v>
      </c>
    </row>
    <row r="9" customFormat="false" ht="15" hidden="false" customHeight="false" outlineLevel="0" collapsed="false">
      <c r="A9" s="15" t="s">
        <v>252</v>
      </c>
      <c r="B9" s="20" t="n">
        <v>77000</v>
      </c>
      <c r="C9" s="15"/>
    </row>
    <row r="10" customFormat="false" ht="15" hidden="false" customHeight="false" outlineLevel="0" collapsed="false">
      <c r="A10" s="15" t="s">
        <v>253</v>
      </c>
      <c r="B10" s="20" t="n">
        <v>78000</v>
      </c>
      <c r="C10" s="15" t="s">
        <v>254</v>
      </c>
    </row>
    <row r="11" customFormat="false" ht="15" hidden="false" customHeight="false" outlineLevel="0" collapsed="false">
      <c r="A11" s="3" t="s">
        <v>255</v>
      </c>
      <c r="B11" s="21" t="n">
        <f aca="false">SUM(B5:B10)</f>
        <v>850000</v>
      </c>
    </row>
    <row r="12" customFormat="false" ht="15" hidden="false" customHeight="false" outlineLevel="0" collapsed="false">
      <c r="A12" s="4" t="s">
        <v>256</v>
      </c>
      <c r="B12" s="22" t="n">
        <f aca="false">B10/B11</f>
        <v>0.0917647058823529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257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6" t="s">
        <v>32</v>
      </c>
      <c r="B4" s="6" t="s">
        <v>258</v>
      </c>
      <c r="C4" s="6" t="s">
        <v>259</v>
      </c>
      <c r="D4" s="6" t="s">
        <v>260</v>
      </c>
      <c r="E4" s="6" t="s">
        <v>261</v>
      </c>
      <c r="F4" s="6" t="s">
        <v>169</v>
      </c>
    </row>
    <row r="5" customFormat="false" ht="26.85" hidden="false" customHeight="false" outlineLevel="0" collapsed="false">
      <c r="A5" s="15" t="s">
        <v>262</v>
      </c>
      <c r="B5" s="15" t="s">
        <v>263</v>
      </c>
      <c r="C5" s="15" t="s">
        <v>264</v>
      </c>
      <c r="D5" s="15" t="s">
        <v>265</v>
      </c>
      <c r="E5" s="15" t="s">
        <v>266</v>
      </c>
      <c r="F5" s="15" t="s">
        <v>267</v>
      </c>
    </row>
    <row r="6" customFormat="false" ht="26.85" hidden="false" customHeight="false" outlineLevel="0" collapsed="false">
      <c r="A6" s="15" t="s">
        <v>268</v>
      </c>
      <c r="B6" s="15" t="s">
        <v>269</v>
      </c>
      <c r="C6" s="15" t="s">
        <v>264</v>
      </c>
      <c r="D6" s="15" t="s">
        <v>270</v>
      </c>
      <c r="E6" s="15" t="s">
        <v>266</v>
      </c>
      <c r="F6" s="15" t="s">
        <v>267</v>
      </c>
    </row>
    <row r="7" customFormat="false" ht="26.85" hidden="false" customHeight="false" outlineLevel="0" collapsed="false">
      <c r="A7" s="15" t="s">
        <v>271</v>
      </c>
      <c r="B7" s="15" t="s">
        <v>272</v>
      </c>
      <c r="C7" s="15" t="s">
        <v>273</v>
      </c>
      <c r="D7" s="15" t="s">
        <v>274</v>
      </c>
      <c r="E7" s="15" t="s">
        <v>266</v>
      </c>
      <c r="F7" s="15" t="s">
        <v>267</v>
      </c>
    </row>
    <row r="8" customFormat="false" ht="26.85" hidden="false" customHeight="false" outlineLevel="0" collapsed="false">
      <c r="A8" s="15" t="s">
        <v>275</v>
      </c>
      <c r="B8" s="15" t="s">
        <v>276</v>
      </c>
      <c r="C8" s="15" t="s">
        <v>264</v>
      </c>
      <c r="D8" s="15" t="s">
        <v>277</v>
      </c>
      <c r="E8" s="15" t="s">
        <v>266</v>
      </c>
      <c r="F8" s="15" t="s">
        <v>267</v>
      </c>
    </row>
    <row r="9" customFormat="false" ht="26.85" hidden="false" customHeight="false" outlineLevel="0" collapsed="false">
      <c r="A9" s="15" t="s">
        <v>278</v>
      </c>
      <c r="B9" s="15" t="s">
        <v>279</v>
      </c>
      <c r="C9" s="15" t="s">
        <v>264</v>
      </c>
      <c r="D9" s="15" t="s">
        <v>280</v>
      </c>
      <c r="E9" s="15" t="s">
        <v>266</v>
      </c>
      <c r="F9" s="15" t="s">
        <v>267</v>
      </c>
    </row>
    <row r="10" customFormat="false" ht="26.85" hidden="false" customHeight="false" outlineLevel="0" collapsed="false">
      <c r="A10" s="15" t="s">
        <v>281</v>
      </c>
      <c r="B10" s="15" t="s">
        <v>282</v>
      </c>
      <c r="C10" s="15" t="s">
        <v>264</v>
      </c>
      <c r="D10" s="15" t="s">
        <v>283</v>
      </c>
      <c r="E10" s="15" t="s">
        <v>266</v>
      </c>
      <c r="F10" s="15" t="s">
        <v>267</v>
      </c>
    </row>
    <row r="11" customFormat="false" ht="26.85" hidden="false" customHeight="false" outlineLevel="0" collapsed="false">
      <c r="A11" s="15" t="s">
        <v>284</v>
      </c>
      <c r="B11" s="15" t="s">
        <v>285</v>
      </c>
      <c r="C11" s="15" t="s">
        <v>273</v>
      </c>
      <c r="D11" s="15" t="s">
        <v>286</v>
      </c>
      <c r="E11" s="15" t="s">
        <v>287</v>
      </c>
      <c r="F11" s="15" t="s">
        <v>288</v>
      </c>
    </row>
    <row r="12" customFormat="false" ht="15" hidden="false" customHeight="false" outlineLevel="0" collapsed="false">
      <c r="A12" s="15" t="s">
        <v>289</v>
      </c>
      <c r="B12" s="15" t="s">
        <v>290</v>
      </c>
      <c r="C12" s="15" t="s">
        <v>291</v>
      </c>
      <c r="D12" s="15" t="s">
        <v>239</v>
      </c>
      <c r="E12" s="15" t="s">
        <v>292</v>
      </c>
      <c r="F12" s="15" t="s">
        <v>293</v>
      </c>
    </row>
    <row r="13" customFormat="false" ht="15" hidden="false" customHeight="false" outlineLevel="0" collapsed="false">
      <c r="A13" s="15" t="s">
        <v>294</v>
      </c>
      <c r="B13" s="15" t="s">
        <v>295</v>
      </c>
      <c r="C13" s="15" t="s">
        <v>273</v>
      </c>
      <c r="D13" s="15" t="s">
        <v>296</v>
      </c>
      <c r="E13" s="15" t="s">
        <v>287</v>
      </c>
      <c r="F13" s="15" t="s">
        <v>288</v>
      </c>
    </row>
    <row r="14" customFormat="false" ht="26.85" hidden="false" customHeight="false" outlineLevel="0" collapsed="false">
      <c r="A14" s="15" t="s">
        <v>297</v>
      </c>
      <c r="B14" s="15" t="s">
        <v>298</v>
      </c>
      <c r="C14" s="15" t="s">
        <v>299</v>
      </c>
      <c r="D14" s="15" t="s">
        <v>239</v>
      </c>
      <c r="E14" s="15" t="s">
        <v>292</v>
      </c>
      <c r="F14" s="15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2026-10-13T19:38:28Z</dcterms:created>
  <dc:creator>openpyxl</dc:creator>
  <dc:description/>
  <dc:language>en-US</dc:language>
  <cp:lastModifiedBy/>
  <dcterms:modified xsi:type="dcterms:W3CDTF">2026-10-13T13:38:31Z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