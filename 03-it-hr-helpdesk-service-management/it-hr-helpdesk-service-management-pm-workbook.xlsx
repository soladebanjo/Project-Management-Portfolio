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6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Dashboard" sheetId="2" state="visible" r:id="rId4"/>
    <sheet name="Gantt" sheetId="3" state="visible" r:id="rId5"/>
    <sheet name="Stakeholders" sheetId="4" state="visible" r:id="rId6"/>
    <sheet name="RACI" sheetId="5" state="visible" r:id="rId7"/>
    <sheet name="RAID Log" sheetId="6" state="visible" r:id="rId8"/>
    <sheet name="Comms Plan" sheetId="7" state="visible" r:id="rId9"/>
    <sheet name="Budget" sheetId="8" state="visible" r:id="rId10"/>
    <sheet name="Product Backlog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<sst xmlns="http://schemas.openxmlformats.org/spreadsheetml/2006/main" count="455" uniqueCount="294">
  <si>
    <t xml:space="preserve">HR Helpdesk &amp; Case Management System (IT Service Management) – PM Workbook</t>
  </si>
  <si>
    <t xml:space="preserve">Simulated project – organisation, people and figures are fictional (PM Project Lab practice brief).</t>
  </si>
  <si>
    <t xml:space="preserve">Organisation</t>
  </si>
  <si>
    <t xml:space="preserve">Prairie Shield Financial Group (fictional) – regional banking group, ~2,400 employees</t>
  </si>
  <si>
    <t xml:space="preserve">Sponsor</t>
  </si>
  <si>
    <t xml:space="preserve">James Okoro, Chief Human Resources Officer</t>
  </si>
  <si>
    <t xml:space="preserve">Project Manager</t>
  </si>
  <si>
    <t xml:space="preserve">Sola Debanjo, PMP</t>
  </si>
  <si>
    <t xml:space="preserve">Approach</t>
  </si>
  <si>
    <t xml:space="preserve">Agile (Scrum – 2-week sprints)</t>
  </si>
  <si>
    <t xml:space="preserve">Duration (weeks)</t>
  </si>
  <si>
    <t xml:space="preserve">Budget (assumed)</t>
  </si>
  <si>
    <t xml:space="preserve">CAD $180,000 (assumed; includes 10% contingency)</t>
  </si>
  <si>
    <t xml:space="preserve">How to use this workbook</t>
  </si>
  <si>
    <t xml:space="preserve">• Blue text on a yellow background = an input you can change (e.g., project start date, status week, actuals).</t>
  </si>
  <si>
    <t xml:space="preserve">• Black text = formulas. They recalculate automatically when inputs change.</t>
  </si>
  <si>
    <t xml:space="preserve">• Gantt: change the project start date or a task's start week/duration and the bars and dates move.</t>
  </si>
  <si>
    <t xml:space="preserve">• RAID: Score = Probability × Impact; colour turns red at 15+, amber at 8–14.</t>
  </si>
  <si>
    <t xml:space="preserve">• The schedule is also provided as a Microsoft Project XML file (opens in MS Project or the free ProjectLibre).</t>
  </si>
  <si>
    <t xml:space="preserve">HR Helpdesk – sprint velocity and pilot service levels</t>
  </si>
  <si>
    <t xml:space="preserve">Simulated data – built in Excel</t>
  </si>
  <si>
    <t xml:space="preserve">Sprint</t>
  </si>
  <si>
    <t xml:space="preserve">Story points completed</t>
  </si>
  <si>
    <t xml:space="preserve">Sprint 1</t>
  </si>
  <si>
    <t xml:space="preserve">Sprint 2</t>
  </si>
  <si>
    <t xml:space="preserve">Sprint 3</t>
  </si>
  <si>
    <t xml:space="preserve">Sprint 4</t>
  </si>
  <si>
    <t xml:space="preserve">Sprint 5</t>
  </si>
  <si>
    <t xml:space="preserve">Total delivered</t>
  </si>
  <si>
    <t xml:space="preserve">Backlog points in scope (excl. deferred)</t>
  </si>
  <si>
    <t xml:space="preserve">Average velocity (Sprints 1–4)</t>
  </si>
  <si>
    <t xml:space="preserve">Pilot service metric</t>
  </si>
  <si>
    <t xml:space="preserve">Value</t>
  </si>
  <si>
    <t xml:space="preserve">Tickets logged (3 weeks)</t>
  </si>
  <si>
    <t xml:space="preserve">Tickets with first response ≤ 1 business day</t>
  </si>
  <si>
    <t xml:space="preserve">First-response SLA %</t>
  </si>
  <si>
    <t xml:space="preserve">SLA target</t>
  </si>
  <si>
    <t xml:space="preserve">SLA status</t>
  </si>
  <si>
    <t xml:space="preserve">Gantt Schedule</t>
  </si>
  <si>
    <t xml:space="preserve">Start date (Week 1):</t>
  </si>
  <si>
    <t xml:space="preserve">ID</t>
  </si>
  <si>
    <t xml:space="preserve">Phase</t>
  </si>
  <si>
    <t xml:space="preserve">Work package / milestone</t>
  </si>
  <si>
    <t xml:space="preserve">Owner</t>
  </si>
  <si>
    <t xml:space="preserve">Start wk</t>
  </si>
  <si>
    <t xml:space="preserve">Duration (wks)</t>
  </si>
  <si>
    <t xml:space="preserve">End wk</t>
  </si>
  <si>
    <t xml:space="preserve">Start date</t>
  </si>
  <si>
    <t xml:space="preserve">Finish date</t>
  </si>
  <si>
    <t xml:space="preserve">1</t>
  </si>
  <si>
    <t xml:space="preserve">Sprint 0</t>
  </si>
  <si>
    <t xml:space="preserve">Charter, discovery interviews, backlog &amp; design</t>
  </si>
  <si>
    <t xml:space="preserve">PM</t>
  </si>
  <si>
    <t xml:space="preserve">2</t>
  </si>
  <si>
    <t xml:space="preserve">Portal, request types, queues, SLAs</t>
  </si>
  <si>
    <t xml:space="preserve">ITSM Lead</t>
  </si>
  <si>
    <t xml:space="preserve">3</t>
  </si>
  <si>
    <t xml:space="preserve">Confidential workflow, permissions, SSO</t>
  </si>
  <si>
    <t xml:space="preserve">4</t>
  </si>
  <si>
    <t xml:space="preserve">Knowledge base v1, email-to-ticket, pilot prep</t>
  </si>
  <si>
    <t xml:space="preserve">Product Owner</t>
  </si>
  <si>
    <t xml:space="preserve">5</t>
  </si>
  <si>
    <t xml:space="preserve">Pilot</t>
  </si>
  <si>
    <t xml:space="preserve">Pilot – Retail Operations &amp; Finance</t>
  </si>
  <si>
    <t xml:space="preserve">HR Ops Lead</t>
  </si>
  <si>
    <t xml:space="preserve">6</t>
  </si>
  <si>
    <t xml:space="preserve">Pilot fixes, reporting dashboard</t>
  </si>
  <si>
    <t xml:space="preserve">7</t>
  </si>
  <si>
    <t xml:space="preserve">Hardening, UAT, training, launch comms</t>
  </si>
  <si>
    <t xml:space="preserve">8</t>
  </si>
  <si>
    <t xml:space="preserve">Launch</t>
  </si>
  <si>
    <t xml:space="preserve">Bank-wide launch</t>
  </si>
  <si>
    <t xml:space="preserve">9</t>
  </si>
  <si>
    <t xml:space="preserve">Hypercare</t>
  </si>
  <si>
    <t xml:space="preserve">Hypercare &amp; handover to IT support</t>
  </si>
  <si>
    <t xml:space="preserve">10</t>
  </si>
  <si>
    <t xml:space="preserve">Milestone</t>
  </si>
  <si>
    <t xml:space="preserve">Charter approved</t>
  </si>
  <si>
    <t xml:space="preserve">11</t>
  </si>
  <si>
    <t xml:space="preserve">Sprint 0 complete – backlog &amp; design ready</t>
  </si>
  <si>
    <t xml:space="preserve">12</t>
  </si>
  <si>
    <t xml:space="preserve">Confidential workflow &amp; SSO done (Sprint 2)</t>
  </si>
  <si>
    <t xml:space="preserve">13</t>
  </si>
  <si>
    <t xml:space="preserve">Pilot launch – 2 departments</t>
  </si>
  <si>
    <t xml:space="preserve">14</t>
  </si>
  <si>
    <t xml:space="preserve">UAT &amp; readiness sign-off</t>
  </si>
  <si>
    <t xml:space="preserve">15</t>
  </si>
  <si>
    <t xml:space="preserve">16</t>
  </si>
  <si>
    <t xml:space="preserve">Hypercare exit &amp; closure</t>
  </si>
  <si>
    <t xml:space="preserve">Stakeholders</t>
  </si>
  <si>
    <t xml:space="preserve">Stakeholder</t>
  </si>
  <si>
    <t xml:space="preserve">Role</t>
  </si>
  <si>
    <t xml:space="preserve">Primary concern</t>
  </si>
  <si>
    <t xml:space="preserve">Influence</t>
  </si>
  <si>
    <t xml:space="preserve">Interest</t>
  </si>
  <si>
    <t xml:space="preserve">Engagement approach</t>
  </si>
  <si>
    <t xml:space="preserve">James Okoro</t>
  </si>
  <si>
    <t xml:space="preserve">Executive Sponsor (CHRO)</t>
  </si>
  <si>
    <t xml:space="preserve">Business outcome and timeline</t>
  </si>
  <si>
    <t xml:space="preserve">High</t>
  </si>
  <si>
    <t xml:space="preserve">Monthly checkpoint; sprint review demos</t>
  </si>
  <si>
    <t xml:space="preserve">Joseph Mensah</t>
  </si>
  <si>
    <t xml:space="preserve">Product Owner (HR Operations Manager)</t>
  </si>
  <si>
    <t xml:space="preserve">Scope and user value</t>
  </si>
  <si>
    <t xml:space="preserve">Daily availability; owns backlog priority</t>
  </si>
  <si>
    <t xml:space="preserve">Kelechi Nwosu</t>
  </si>
  <si>
    <t xml:space="preserve">Technology / Delivery Lead (IT Service Management Lead)</t>
  </si>
  <si>
    <t xml:space="preserve">Feasibility and team capacity</t>
  </si>
  <si>
    <t xml:space="preserve">Sprint planning; owns configuration &amp; SSO</t>
  </si>
  <si>
    <t xml:space="preserve">Mariam Bello</t>
  </si>
  <si>
    <t xml:space="preserve">Operations Lead (HR Shared Services Supervisor)</t>
  </si>
  <si>
    <t xml:space="preserve">Adoption and service continuity</t>
  </si>
  <si>
    <t xml:space="preserve">Medium</t>
  </si>
  <si>
    <t xml:space="preserve">Leads HR agent team; pilot coordinator</t>
  </si>
  <si>
    <t xml:space="preserve">HR Business Partners</t>
  </si>
  <si>
    <t xml:space="preserve">HR advisers (resistant group)</t>
  </si>
  <si>
    <t xml:space="preserve">Losing personal relationship with 'their' employees</t>
  </si>
  <si>
    <t xml:space="preserve">1:1s; 'preferred adviser' field; involve in workflow design</t>
  </si>
  <si>
    <t xml:space="preserve">Privacy &amp; Compliance Officer</t>
  </si>
  <si>
    <t xml:space="preserve">Compliance</t>
  </si>
  <si>
    <t xml:space="preserve">Confidential case segregation, retention</t>
  </si>
  <si>
    <t xml:space="preserve">Reviews permission design; sign-off before pilot</t>
  </si>
  <si>
    <t xml:space="preserve">Information Security</t>
  </si>
  <si>
    <t xml:space="preserve">IT Security</t>
  </si>
  <si>
    <t xml:space="preserve">Access control, SSO</t>
  </si>
  <si>
    <t xml:space="preserve">Low</t>
  </si>
  <si>
    <t xml:space="preserve">Security review in Sprint 2</t>
  </si>
  <si>
    <t xml:space="preserve">Employees (pilot departments)</t>
  </si>
  <si>
    <t xml:space="preserve">Service users</t>
  </si>
  <si>
    <t xml:space="preserve">Easy to ask, quick answers, privacy</t>
  </si>
  <si>
    <t xml:space="preserve">Pilot feedback survey; launch comms</t>
  </si>
  <si>
    <t xml:space="preserve">RACI</t>
  </si>
  <si>
    <t xml:space="preserve">Activity / deliverable</t>
  </si>
  <si>
    <t xml:space="preserve">PM (Sola)</t>
  </si>
  <si>
    <t xml:space="preserve">Privacy Officer</t>
  </si>
  <si>
    <t xml:space="preserve">Config Partner</t>
  </si>
  <si>
    <t xml:space="preserve">A count (must be 1)</t>
  </si>
  <si>
    <t xml:space="preserve">Charter &amp; budget</t>
  </si>
  <si>
    <t xml:space="preserve">A</t>
  </si>
  <si>
    <t xml:space="preserve">R</t>
  </si>
  <si>
    <t xml:space="preserve">C</t>
  </si>
  <si>
    <t xml:space="preserve">I</t>
  </si>
  <si>
    <t xml:space="preserve">Backlog prioritisation</t>
  </si>
  <si>
    <t xml:space="preserve">Portal &amp; queue configuration</t>
  </si>
  <si>
    <t xml:space="preserve">Confidential workflow &amp; permissions</t>
  </si>
  <si>
    <t xml:space="preserve">Knowledge base content</t>
  </si>
  <si>
    <t xml:space="preserve">HR staff training &amp; change management</t>
  </si>
  <si>
    <t xml:space="preserve">UAT sign-off</t>
  </si>
  <si>
    <t xml:space="preserve">Launch go / no-go</t>
  </si>
  <si>
    <t xml:space="preserve">R = Responsible · A = Accountable · C = Consulted · I = Informed. Check column: each row must have exactly one A.</t>
  </si>
  <si>
    <t xml:space="preserve">RAID Log</t>
  </si>
  <si>
    <t xml:space="preserve">Type</t>
  </si>
  <si>
    <t xml:space="preserve">Description</t>
  </si>
  <si>
    <t xml:space="preserve">Probability (1-5)</t>
  </si>
  <si>
    <t xml:space="preserve">Impact (1-5)</t>
  </si>
  <si>
    <t xml:space="preserve">Score</t>
  </si>
  <si>
    <t xml:space="preserve">Response / action</t>
  </si>
  <si>
    <t xml:space="preserve">Status</t>
  </si>
  <si>
    <t xml:space="preserve">Review week</t>
  </si>
  <si>
    <t xml:space="preserve">Risk</t>
  </si>
  <si>
    <t xml:space="preserve">R-01</t>
  </si>
  <si>
    <t xml:space="preserve">HR Business Partners keep answering by email/WhatsApp, bypassing the queue</t>
  </si>
  <si>
    <t xml:space="preserve">Involve HRBPs in design; 'preferred adviser' routing; leadership message; retire WhatsApp</t>
  </si>
  <si>
    <t xml:space="preserve">Open</t>
  </si>
  <si>
    <t xml:space="preserve">R-02</t>
  </si>
  <si>
    <t xml:space="preserve">Sensitive case logged in the general queue</t>
  </si>
  <si>
    <t xml:space="preserve">Separate confidential request type; restricted project; permission tests</t>
  </si>
  <si>
    <t xml:space="preserve">Occurred → I-01</t>
  </si>
  <si>
    <t xml:space="preserve">R-03</t>
  </si>
  <si>
    <t xml:space="preserve">SSO integration delayed by Identity team</t>
  </si>
  <si>
    <t xml:space="preserve">Agreed slot in Sprint 2; fallback: local accounts for pilot only</t>
  </si>
  <si>
    <t xml:space="preserve">Closed</t>
  </si>
  <si>
    <t xml:space="preserve">R-04</t>
  </si>
  <si>
    <t xml:space="preserve">Knowledge articles not ready for launch</t>
  </si>
  <si>
    <t xml:space="preserve">Article owners assigned per topic; weekly tracker</t>
  </si>
  <si>
    <t xml:space="preserve">Assumption</t>
  </si>
  <si>
    <t xml:space="preserve">A-01</t>
  </si>
  <si>
    <t xml:space="preserve">Existing Jira Service Management licence covers HR agents</t>
  </si>
  <si>
    <t xml:space="preserve">Validated – 12 extra agent licences purchased</t>
  </si>
  <si>
    <t xml:space="preserve">Validated</t>
  </si>
  <si>
    <t xml:space="preserve">Issue</t>
  </si>
  <si>
    <t xml:space="preserve">I-01</t>
  </si>
  <si>
    <t xml:space="preserve">Pilot week 1: a grievance was logged as a 'General question' and was visible to 6 HR agents</t>
  </si>
  <si>
    <t xml:space="preserve">Contained same day; workflow change – see decision log D-04</t>
  </si>
  <si>
    <t xml:space="preserve">Resolved</t>
  </si>
  <si>
    <t xml:space="preserve">Dependency</t>
  </si>
  <si>
    <t xml:space="preserve">D-01</t>
  </si>
  <si>
    <t xml:space="preserve">Identity team SSO configuration</t>
  </si>
  <si>
    <t xml:space="preserve">Delivered Week 6</t>
  </si>
  <si>
    <t xml:space="preserve">D-02</t>
  </si>
  <si>
    <t xml:space="preserve">HR content owners for 40 knowledge articles</t>
  </si>
  <si>
    <t xml:space="preserve">38 of 40 ready by Week 12; 2 published in hypercare</t>
  </si>
  <si>
    <t xml:space="preserve">Open risks scored 15+:</t>
  </si>
  <si>
    <t xml:space="preserve">Comms Plan</t>
  </si>
  <si>
    <t xml:space="preserve">Audience</t>
  </si>
  <si>
    <t xml:space="preserve">Information</t>
  </si>
  <si>
    <t xml:space="preserve">Format / channel</t>
  </si>
  <si>
    <t xml:space="preserve">Frequency</t>
  </si>
  <si>
    <t xml:space="preserve">Escalation route</t>
  </si>
  <si>
    <t xml:space="preserve">Sponsor &amp; checkpoint group</t>
  </si>
  <si>
    <t xml:space="preserve">Progress, burn-up, risks, decisions</t>
  </si>
  <si>
    <t xml:space="preserve">Monthly checkpoint + 1-page update</t>
  </si>
  <si>
    <t xml:space="preserve">Monthly / weekly email</t>
  </si>
  <si>
    <t xml:space="preserve">Scrum team</t>
  </si>
  <si>
    <t xml:space="preserve">Sprint goal, blockers</t>
  </si>
  <si>
    <t xml:space="preserve">Daily stand-up (15 min), sprint planning, retro</t>
  </si>
  <si>
    <t xml:space="preserve">Daily / bi-weekly</t>
  </si>
  <si>
    <t xml:space="preserve">Working software</t>
  </si>
  <si>
    <t xml:space="preserve">Sprint review demo</t>
  </si>
  <si>
    <t xml:space="preserve">Every 2 weeks</t>
  </si>
  <si>
    <t xml:space="preserve">HR agents &amp; HRBPs</t>
  </si>
  <si>
    <t xml:space="preserve">Process changes, training, 'what's in it for me'</t>
  </si>
  <si>
    <t xml:space="preserve">Team sessions, 1:1s, user guide</t>
  </si>
  <si>
    <t xml:space="preserve">Weekly during pilot/launch</t>
  </si>
  <si>
    <t xml:space="preserve">All employees</t>
  </si>
  <si>
    <t xml:space="preserve">How to get HR help, privacy assurance</t>
  </si>
  <si>
    <t xml:space="preserve">Intranet article, email from CHRO, posters</t>
  </si>
  <si>
    <t xml:space="preserve">Pilot launch + bank-wide launch</t>
  </si>
  <si>
    <t xml:space="preserve">Privacy &amp; Compliance</t>
  </si>
  <si>
    <t xml:space="preserve">Permission design, incidents</t>
  </si>
  <si>
    <t xml:space="preserve">Review meeting; immediate notice for incidents</t>
  </si>
  <si>
    <t xml:space="preserve">Per sprint / same day</t>
  </si>
  <si>
    <t xml:space="preserve">Budget</t>
  </si>
  <si>
    <t xml:space="preserve">Cost category</t>
  </si>
  <si>
    <t xml:space="preserve">Amount (CAD)</t>
  </si>
  <si>
    <t xml:space="preserve">Notes</t>
  </si>
  <si>
    <t xml:space="preserve">Configuration partner (Jira Service Management)</t>
  </si>
  <si>
    <t xml:space="preserve">Fixed price</t>
  </si>
  <si>
    <t xml:space="preserve">Additional agent licences (Year 1)</t>
  </si>
  <si>
    <t xml:space="preserve">HR agents</t>
  </si>
  <si>
    <t xml:space="preserve">Internal IT (SSO, directory integration)</t>
  </si>
  <si>
    <t xml:space="preserve">Knowledge-base content &amp; training</t>
  </si>
  <si>
    <t xml:space="preserve">Writer + HR SMEs</t>
  </si>
  <si>
    <t xml:space="preserve">Project management / Scrum facilitation</t>
  </si>
  <si>
    <t xml:space="preserve">Contingency (10%)</t>
  </si>
  <si>
    <t xml:space="preserve">Total</t>
  </si>
  <si>
    <t xml:space="preserve">Contingency as % of total</t>
  </si>
  <si>
    <t xml:space="preserve">Product Backlog</t>
  </si>
  <si>
    <t xml:space="preserve">Epic</t>
  </si>
  <si>
    <t xml:space="preserve">User story</t>
  </si>
  <si>
    <t xml:space="preserve">Priority</t>
  </si>
  <si>
    <t xml:space="preserve">Story points</t>
  </si>
  <si>
    <t xml:space="preserve">Acceptance criteria</t>
  </si>
  <si>
    <t xml:space="preserve">HR-01</t>
  </si>
  <si>
    <t xml:space="preserve">Portal</t>
  </si>
  <si>
    <t xml:space="preserve">As an employee, I can raise an HR request from one portal so I don't need to know who to email</t>
  </si>
  <si>
    <t xml:space="preserve">Must</t>
  </si>
  <si>
    <t xml:space="preserve">Portal reachable via SSO; 12 request types; confirmation email sent</t>
  </si>
  <si>
    <t xml:space="preserve">Done</t>
  </si>
  <si>
    <t xml:space="preserve">HR-02</t>
  </si>
  <si>
    <t xml:space="preserve">Queues &amp; SLAs</t>
  </si>
  <si>
    <t xml:space="preserve">As an HR agent, I see a shared queue sorted by SLA so nothing is missed</t>
  </si>
  <si>
    <t xml:space="preserve">Queue by request type; SLA timer 1 business day for first response</t>
  </si>
  <si>
    <t xml:space="preserve">HR-03</t>
  </si>
  <si>
    <t xml:space="preserve">Confidential</t>
  </si>
  <si>
    <t xml:space="preserve">As an employee, I can raise a confidential concern that only investigators can see</t>
  </si>
  <si>
    <t xml:space="preserve">Separate restricted project; only 'HR Investigator' role can view; tested with 5 non-authorised roles</t>
  </si>
  <si>
    <t xml:space="preserve">HR-04</t>
  </si>
  <si>
    <t xml:space="preserve">Identity</t>
  </si>
  <si>
    <t xml:space="preserve">As an employee, I sign in with my bank account (SSO) and my details auto-fill</t>
  </si>
  <si>
    <t xml:space="preserve">SSO works for 100% of test users; department and manager auto-populated</t>
  </si>
  <si>
    <t xml:space="preserve">HR-05</t>
  </si>
  <si>
    <t xml:space="preserve">Knowledge</t>
  </si>
  <si>
    <t xml:space="preserve">As an employee, I see suggested articles before submitting</t>
  </si>
  <si>
    <t xml:space="preserve">Should</t>
  </si>
  <si>
    <t xml:space="preserve">Top 3 articles suggested from keywords</t>
  </si>
  <si>
    <t xml:space="preserve">HR-06</t>
  </si>
  <si>
    <t xml:space="preserve">Channels</t>
  </si>
  <si>
    <t xml:space="preserve">As an employee, I can email hr@ and a ticket is created</t>
  </si>
  <si>
    <t xml:space="preserve">Email creates ticket in under 2 min; reply threads stay on the ticket</t>
  </si>
  <si>
    <t xml:space="preserve">HR-07</t>
  </si>
  <si>
    <t xml:space="preserve">Routing</t>
  </si>
  <si>
    <t xml:space="preserve">As an HRBP, tickets from 'my' departments are routed to me first</t>
  </si>
  <si>
    <t xml:space="preserve">'Preferred adviser' field routes by department; falls back to queue after 4 h</t>
  </si>
  <si>
    <t xml:space="preserve">HR-08</t>
  </si>
  <si>
    <t xml:space="preserve">System warns and re-routes when a general ticket contains sensitive keywords</t>
  </si>
  <si>
    <t xml:space="preserve">Must (added via D-04)</t>
  </si>
  <si>
    <t xml:space="preserve">Keywords (e.g., grievance, harassment) trigger restricted re-route + Privacy Officer alert</t>
  </si>
  <si>
    <t xml:space="preserve">HR-09</t>
  </si>
  <si>
    <t xml:space="preserve">Reporting</t>
  </si>
  <si>
    <t xml:space="preserve">As HR leadership, I see volume, SLA and top themes monthly</t>
  </si>
  <si>
    <t xml:space="preserve">Dashboard with 4 charts; data matches queue export</t>
  </si>
  <si>
    <t xml:space="preserve">HR-10</t>
  </si>
  <si>
    <t xml:space="preserve">Feedback</t>
  </si>
  <si>
    <t xml:space="preserve">As an employee, I rate my experience when a ticket closes</t>
  </si>
  <si>
    <t xml:space="preserve">Could</t>
  </si>
  <si>
    <t xml:space="preserve">1–5 rating; 1-click</t>
  </si>
  <si>
    <t xml:space="preserve">HR-11</t>
  </si>
  <si>
    <t xml:space="preserve">Chatbot</t>
  </si>
  <si>
    <t xml:space="preserve">Virtual agent answers common questions</t>
  </si>
  <si>
    <t xml:space="preserve">Won't (this release)</t>
  </si>
  <si>
    <t xml:space="preserve">—</t>
  </si>
  <si>
    <t xml:space="preserve">Future</t>
  </si>
  <si>
    <t xml:space="preserve">Deferred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</si>
</sst>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"/>
    <numFmt numFmtId="166" formatCode="0%"/>
    <numFmt numFmtId="167" formatCode="dd\ mmm\ yyyy"/>
    <numFmt numFmtId="168" formatCode="dd\ mmm\ yy"/>
    <numFmt numFmtId="169" formatCode="General"/>
    <numFmt numFmtId="170" formatCode="\$#,##0"/>
    <numFmt numFmtId="171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2514E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i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1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ont>
        <color rgb="FF2A78D6"/>
      </font>
      <fill>
        <patternFill>
          <bgColor rgb="FF2A78D6"/>
        </patternFill>
      </fill>
    </dxf>
    <dxf>
      <font>
        <name val="Arial"/>
        <charset val="1"/>
        <family val="0"/>
        <b val="1"/>
        <color rgb="FFC00000"/>
      </font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ont>
        <name val="Arial"/>
        <charset val="1"/>
        <family val="0"/>
        <b val="1"/>
      </font>
      <fill>
        <patternFill>
          <bgColor rgb="FFD9E2F3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FE29A"/>
          <bgColor rgb="FF000000"/>
        </patternFill>
      </fill>
    </dxf>
    <dxf>
      <fill>
        <patternFill>
          <bgColor rgb="FFF4B6B6"/>
        </patternFill>
      </fill>
    </dxf>
    <dxf>
      <fill>
        <patternFill>
          <bgColor rgb="FFFFE29A"/>
        </patternFill>
      </fill>
    </dxf>
    <dxf>
      <fill>
        <patternFill>
          <bgColor rgb="FFB7E1B5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E1B5"/>
      <rgbColor rgb="FF878787"/>
      <rgbColor rgb="FF9999FF"/>
      <rgbColor rgb="FF993366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6B6"/>
      <rgbColor rgb="FFCC99FF"/>
      <rgbColor rgb="FFFFE29A"/>
      <rgbColor rgb="FF2A78D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Velocity – story points completed per sprint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Dashboard!B3</c:f>
              <c:strCache>
                <c:ptCount val="1"/>
                <c:pt idx="0">
                  <c:v>Story points completed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Dashboard!$A$4:$A$8</c:f>
              <c:strCache>
                <c:ptCount val="5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</c:strCache>
            </c:strRef>
          </c:cat>
          <c:val>
            <c:numRef>
              <c:f>Dashboard!$B$4:$B$8</c:f>
              <c:numCache>
                <c:formatCode>General</c:formatCode>
                <c:ptCount val="5"/>
                <c:pt idx="0">
                  <c:v>10</c:v>
                </c:pt>
                <c:pt idx="1">
                  <c:v>13</c:v>
                </c:pt>
                <c:pt idx="2">
                  <c:v>6</c:v>
                </c:pt>
                <c:pt idx="3">
                  <c:v>15</c:v>
                </c:pt>
                <c:pt idx="4">
                  <c:v>2</c:v>
                </c:pt>
              </c:numCache>
            </c:numRef>
          </c:val>
        </c:ser>
        <c:gapWidth val="150"/>
        <c:overlap val="0"/>
        <c:axId val="28003492"/>
        <c:axId val="16048547"/>
      </c:barChart>
      <c:catAx>
        <c:axId val="280034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048547"/>
        <c:crosses val="autoZero"/>
        <c:auto val="1"/>
        <c:lblAlgn val="ctr"/>
        <c:lblOffset val="100"/>
        <c:noMultiLvlLbl val="0"/>
      </c:catAx>
      <c:valAx>
        <c:axId val="160485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0034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145440</xdr:rowOff>
    </xdr:from>
    <xdr:to>
      <xdr:col>12</xdr:col>
      <xdr:colOff>256320</xdr:colOff>
      <xdr:row>16</xdr:row>
      <xdr:rowOff>16920</xdr:rowOff>
    </xdr:to>
    <xdr:graphicFrame>
      <xdr:nvGraphicFramePr>
        <xdr:cNvPr id="0" name="Chart 1"/>
        <xdr:cNvGraphicFramePr/>
      </xdr:nvGraphicFramePr>
      <xdr:xfrm>
        <a:off x="4699800" y="380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BudgetTbl" displayName="BudgetTbl" ref="A4:C10" headerRowCount="1" totalsRowCount="0" totalsRowShown="0">
  <autoFilter ref="A4:C10"/>
  <tableColumns count="3">
    <tableColumn id="1" name="Cost category"/>
    <tableColumn id="2" name="Amount (CAD)"/>
    <tableColumn id="3" name="Notes"/>
  </tableColumns>
</table>
</file>

<file path=xl/tables/table2.xml><?xml version="1.0" encoding="utf-8"?>
<table xmlns="http://schemas.openxmlformats.org/spreadsheetml/2006/main" id="2" name="CommsPlanTbl" displayName="CommsPlanTbl" ref="A4:F10" headerRowCount="1" totalsRowCount="0" totalsRowShown="0">
  <autoFilter ref="A4:F10"/>
  <tableColumns count="6">
    <tableColumn id="1" name="Audience"/>
    <tableColumn id="2" name="Information"/>
    <tableColumn id="3" name="Format / channel"/>
    <tableColumn id="4" name="Frequency"/>
    <tableColumn id="5" name="Owner"/>
    <tableColumn id="6" name="Escalation route"/>
  </tableColumns>
</table>
</file>

<file path=xl/tables/table3.xml><?xml version="1.0" encoding="utf-8"?>
<table xmlns="http://schemas.openxmlformats.org/spreadsheetml/2006/main" id="3" name="ProductBacklogTbl" displayName="ProductBacklogTbl" ref="A4:H15" headerRowCount="1" totalsRowCount="0" totalsRowShown="0">
  <autoFilter ref="A4:H15"/>
  <tableColumns count="8">
    <tableColumn id="1" name="ID"/>
    <tableColumn id="2" name="Epic"/>
    <tableColumn id="3" name="User story"/>
    <tableColumn id="4" name="Priority"/>
    <tableColumn id="5" name="Story points"/>
    <tableColumn id="6" name="Acceptance criteria"/>
    <tableColumn id="7" name="Sprint"/>
    <tableColumn id="8" name="Status"/>
  </tableColumns>
</table>
</file>

<file path=xl/tables/table4.xml><?xml version="1.0" encoding="utf-8"?>
<table xmlns="http://schemas.openxmlformats.org/spreadsheetml/2006/main" id="4" name="RACITbl" displayName="RACITbl" ref="A4:H13" headerRowCount="1" totalsRowCount="0" totalsRowShown="0">
  <autoFilter ref="A4:H13"/>
  <tableColumns count="8">
    <tableColumn id="1" name="Activity / deliverable"/>
    <tableColumn id="2" name="Sponsor"/>
    <tableColumn id="3" name="PM (Sola)"/>
    <tableColumn id="4" name="Product Owner"/>
    <tableColumn id="5" name="ITSM Lead"/>
    <tableColumn id="6" name="HR Ops Lead"/>
    <tableColumn id="7" name="Privacy Officer"/>
    <tableColumn id="8" name="Config Partner"/>
  </tableColumns>
</table>
</file>

<file path=xl/tables/table5.xml><?xml version="1.0" encoding="utf-8"?>
<table xmlns="http://schemas.openxmlformats.org/spreadsheetml/2006/main" id="5" name="RAIDLogTbl" displayName="RAIDLogTbl" ref="A4:J12" headerRowCount="1" totalsRowCount="0" totalsRowShown="0">
  <autoFilter ref="A4:J12"/>
  <tableColumns count="10">
    <tableColumn id="1" name="Type"/>
    <tableColumn id="2" name="ID"/>
    <tableColumn id="3" name="Description"/>
    <tableColumn id="4" name="Probability (1-5)"/>
    <tableColumn id="5" name="Impact (1-5)"/>
    <tableColumn id="6" name="Score"/>
    <tableColumn id="7" name="Owner"/>
    <tableColumn id="8" name="Response / action"/>
    <tableColumn id="9" name="Status"/>
    <tableColumn id="10" name="Review week"/>
  </tableColumns>
</table>
</file>

<file path=xl/tables/table6.xml><?xml version="1.0" encoding="utf-8"?>
<table xmlns="http://schemas.openxmlformats.org/spreadsheetml/2006/main" id="6" name="StakeholdersTbl" displayName="StakeholdersTbl" ref="A4:F12" headerRowCount="1" totalsRowCount="0" totalsRowShown="0">
  <autoFilter ref="A4:F12"/>
  <tableColumns count="6">
    <tableColumn id="1" name="Stakeholder"/>
    <tableColumn id="2" name="Role"/>
    <tableColumn id="3" name="Primary concern"/>
    <tableColumn id="4" name="Influence"/>
    <tableColumn id="5" name="Interest"/>
    <tableColumn id="6" name="Engagement approach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n">
        <v>15</v>
      </c>
    </row>
    <row r="9" customFormat="false" ht="15" hidden="false" customHeight="false" outlineLevel="0" collapsed="false">
      <c r="A9" s="3" t="s">
        <v>11</v>
      </c>
      <c r="B9" s="4" t="s">
        <v>12</v>
      </c>
    </row>
    <row r="11" customFormat="false" ht="15" hidden="false" customHeight="false" outlineLevel="0" collapsed="false">
      <c r="A11" s="3" t="s">
        <v>13</v>
      </c>
    </row>
    <row r="12" customFormat="false" ht="15" hidden="false" customHeight="false" outlineLevel="0" collapsed="false">
      <c r="A12" s="4" t="s">
        <v>14</v>
      </c>
    </row>
    <row r="13" customFormat="false" ht="15" hidden="false" customHeight="false" outlineLevel="0" collapsed="false">
      <c r="A13" s="4" t="s">
        <v>15</v>
      </c>
    </row>
    <row r="14" customFormat="false" ht="15" hidden="false" customHeight="false" outlineLevel="0" collapsed="false">
      <c r="A14" s="4" t="s">
        <v>16</v>
      </c>
    </row>
    <row r="15" customFormat="false" ht="15" hidden="false" customHeight="false" outlineLevel="0" collapsed="false">
      <c r="A15" s="4" t="s">
        <v>17</v>
      </c>
    </row>
    <row r="16" customFormat="false" ht="15" hidden="false" customHeight="false" outlineLevel="0" collapsed="false">
      <c r="A16" s="4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</cols>
  <sheetData>
    <row r="1" customFormat="false" ht="18.55" hidden="false" customHeight="false" outlineLevel="0" collapsed="false">
      <c r="A1" s="5" t="s">
        <v>19</v>
      </c>
    </row>
    <row r="2" customFormat="false" ht="15" hidden="false" customHeight="false" outlineLevel="0" collapsed="false">
      <c r="A2" s="2" t="s">
        <v>20</v>
      </c>
    </row>
    <row r="3" customFormat="false" ht="26.85" hidden="false" customHeight="false" outlineLevel="0" collapsed="false">
      <c r="A3" s="6" t="s">
        <v>21</v>
      </c>
      <c r="B3" s="6" t="s">
        <v>22</v>
      </c>
    </row>
    <row r="4" customFormat="false" ht="15" hidden="false" customHeight="false" outlineLevel="0" collapsed="false">
      <c r="A4" s="4" t="s">
        <v>23</v>
      </c>
      <c r="B4" s="7" t="n">
        <v>10</v>
      </c>
    </row>
    <row r="5" customFormat="false" ht="15" hidden="false" customHeight="false" outlineLevel="0" collapsed="false">
      <c r="A5" s="4" t="s">
        <v>24</v>
      </c>
      <c r="B5" s="7" t="n">
        <v>13</v>
      </c>
    </row>
    <row r="6" customFormat="false" ht="15" hidden="false" customHeight="false" outlineLevel="0" collapsed="false">
      <c r="A6" s="4" t="s">
        <v>25</v>
      </c>
      <c r="B6" s="7" t="n">
        <v>6</v>
      </c>
    </row>
    <row r="7" customFormat="false" ht="15" hidden="false" customHeight="false" outlineLevel="0" collapsed="false">
      <c r="A7" s="4" t="s">
        <v>26</v>
      </c>
      <c r="B7" s="7" t="n">
        <v>15</v>
      </c>
    </row>
    <row r="8" customFormat="false" ht="15" hidden="false" customHeight="false" outlineLevel="0" collapsed="false">
      <c r="A8" s="4" t="s">
        <v>27</v>
      </c>
      <c r="B8" s="7" t="n">
        <v>2</v>
      </c>
    </row>
    <row r="9" customFormat="false" ht="15" hidden="false" customHeight="false" outlineLevel="0" collapsed="false">
      <c r="A9" s="4" t="s">
        <v>28</v>
      </c>
      <c r="B9" s="4" t="n">
        <f aca="false">SUM(B4:B8)</f>
        <v>46</v>
      </c>
    </row>
    <row r="10" customFormat="false" ht="15" hidden="false" customHeight="false" outlineLevel="0" collapsed="false">
      <c r="A10" s="4" t="s">
        <v>29</v>
      </c>
      <c r="B10" s="4" t="n">
        <f aca="false">SUMIFS('Product Backlog'!E5:E15,'Product Backlog'!H5:H15,"Done")</f>
        <v>46</v>
      </c>
    </row>
    <row r="11" customFormat="false" ht="15" hidden="false" customHeight="false" outlineLevel="0" collapsed="false">
      <c r="A11" s="4" t="s">
        <v>30</v>
      </c>
      <c r="B11" s="8" t="n">
        <f aca="false">AVERAGE(B4:B7)</f>
        <v>11</v>
      </c>
    </row>
    <row r="13" customFormat="false" ht="15" hidden="false" customHeight="false" outlineLevel="0" collapsed="false">
      <c r="A13" s="6" t="s">
        <v>31</v>
      </c>
      <c r="B13" s="6" t="s">
        <v>32</v>
      </c>
    </row>
    <row r="14" customFormat="false" ht="15" hidden="false" customHeight="false" outlineLevel="0" collapsed="false">
      <c r="A14" s="4" t="s">
        <v>33</v>
      </c>
      <c r="B14" s="7" t="n">
        <v>312</v>
      </c>
    </row>
    <row r="15" customFormat="false" ht="15" hidden="false" customHeight="false" outlineLevel="0" collapsed="false">
      <c r="A15" s="4" t="s">
        <v>34</v>
      </c>
      <c r="B15" s="7" t="n">
        <v>284</v>
      </c>
    </row>
    <row r="16" customFormat="false" ht="15" hidden="false" customHeight="false" outlineLevel="0" collapsed="false">
      <c r="A16" s="4" t="s">
        <v>35</v>
      </c>
      <c r="B16" s="9" t="n">
        <f aca="false">B15/B14</f>
        <v>0.91025641025641</v>
      </c>
    </row>
    <row r="17" customFormat="false" ht="15" hidden="false" customHeight="false" outlineLevel="0" collapsed="false">
      <c r="A17" s="4" t="s">
        <v>36</v>
      </c>
      <c r="B17" s="10" t="n">
        <v>0.9</v>
      </c>
    </row>
    <row r="18" customFormat="false" ht="15" hidden="false" customHeight="false" outlineLevel="0" collapsed="false">
      <c r="A18" s="4" t="s">
        <v>37</v>
      </c>
      <c r="B18" s="4" t="str">
        <f aca="false">IF(B16&gt;=B17,"Met","Below target")</f>
        <v>Met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44"/>
    <col collapsed="false" customWidth="true" hidden="false" outlineLevel="0" max="4" min="4" style="0" width="18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9" min="8" style="0" width="11"/>
    <col collapsed="false" customWidth="true" hidden="false" outlineLevel="0" max="25" min="10" style="0" width="3.2"/>
  </cols>
  <sheetData>
    <row r="1" customFormat="false" ht="17.35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B3" s="3" t="s">
        <v>39</v>
      </c>
      <c r="C3" s="11" t="n">
        <v>46027</v>
      </c>
    </row>
    <row r="5" customFormat="false" ht="26.85" hidden="false" customHeight="false" outlineLevel="0" collapsed="false">
      <c r="A5" s="6" t="s">
        <v>40</v>
      </c>
      <c r="B5" s="6" t="s">
        <v>41</v>
      </c>
      <c r="C5" s="6" t="s">
        <v>42</v>
      </c>
      <c r="D5" s="6" t="s">
        <v>43</v>
      </c>
      <c r="E5" s="6" t="s">
        <v>44</v>
      </c>
      <c r="F5" s="6" t="s">
        <v>45</v>
      </c>
      <c r="G5" s="6" t="s">
        <v>46</v>
      </c>
      <c r="H5" s="6" t="s">
        <v>47</v>
      </c>
      <c r="I5" s="6" t="s">
        <v>48</v>
      </c>
      <c r="J5" s="6" t="n">
        <v>1</v>
      </c>
      <c r="K5" s="6" t="n">
        <v>2</v>
      </c>
      <c r="L5" s="6" t="n">
        <v>3</v>
      </c>
      <c r="M5" s="6" t="n">
        <v>4</v>
      </c>
      <c r="N5" s="6" t="n">
        <v>5</v>
      </c>
      <c r="O5" s="6" t="n">
        <v>6</v>
      </c>
      <c r="P5" s="6" t="n">
        <v>7</v>
      </c>
      <c r="Q5" s="6" t="n">
        <v>8</v>
      </c>
      <c r="R5" s="6" t="n">
        <v>9</v>
      </c>
      <c r="S5" s="6" t="n">
        <v>10</v>
      </c>
      <c r="T5" s="6" t="n">
        <v>11</v>
      </c>
      <c r="U5" s="6" t="n">
        <v>12</v>
      </c>
      <c r="V5" s="6" t="n">
        <v>13</v>
      </c>
      <c r="W5" s="6" t="n">
        <v>14</v>
      </c>
      <c r="X5" s="6" t="n">
        <v>15</v>
      </c>
      <c r="Y5" s="6" t="n">
        <v>16</v>
      </c>
    </row>
    <row r="6" customFormat="false" ht="15" hidden="false" customHeight="false" outlineLevel="0" collapsed="false">
      <c r="A6" s="4" t="s">
        <v>49</v>
      </c>
      <c r="B6" s="4" t="s">
        <v>50</v>
      </c>
      <c r="C6" s="4" t="s">
        <v>51</v>
      </c>
      <c r="D6" s="4" t="s">
        <v>52</v>
      </c>
      <c r="E6" s="7" t="n">
        <v>1</v>
      </c>
      <c r="F6" s="7" t="n">
        <v>2</v>
      </c>
      <c r="G6" s="4" t="n">
        <f aca="false">E6+F6-1</f>
        <v>2</v>
      </c>
      <c r="H6" s="12" t="n">
        <f aca="false">$C$3+(E6-1)*7</f>
        <v>46027</v>
      </c>
      <c r="I6" s="12" t="n">
        <f aca="false">$C$3+G6*7-3</f>
        <v>46038</v>
      </c>
      <c r="J6" s="13" t="n">
        <f aca="false">IF(AND(J$5&gt;=$E6,J$5&lt;=$G6),1,"")</f>
        <v>1</v>
      </c>
      <c r="K6" s="13" t="n">
        <f aca="false">IF(AND(K$5&gt;=$E6,K$5&lt;=$G6),1,"")</f>
        <v>1</v>
      </c>
      <c r="L6" s="13" t="str">
        <f aca="false">IF(AND(L$5&gt;=$E6,L$5&lt;=$G6),1,"")</f>
        <v/>
      </c>
      <c r="M6" s="13" t="str">
        <f aca="false">IF(AND(M$5&gt;=$E6,M$5&lt;=$G6),1,"")</f>
        <v/>
      </c>
      <c r="N6" s="13" t="str">
        <f aca="false">IF(AND(N$5&gt;=$E6,N$5&lt;=$G6),1,"")</f>
        <v/>
      </c>
      <c r="O6" s="13" t="str">
        <f aca="false">IF(AND(O$5&gt;=$E6,O$5&lt;=$G6),1,"")</f>
        <v/>
      </c>
      <c r="P6" s="13" t="str">
        <f aca="false">IF(AND(P$5&gt;=$E6,P$5&lt;=$G6),1,"")</f>
        <v/>
      </c>
      <c r="Q6" s="13" t="str">
        <f aca="false">IF(AND(Q$5&gt;=$E6,Q$5&lt;=$G6),1,"")</f>
        <v/>
      </c>
      <c r="R6" s="13" t="str">
        <f aca="false">IF(AND(R$5&gt;=$E6,R$5&lt;=$G6),1,"")</f>
        <v/>
      </c>
      <c r="S6" s="13" t="str">
        <f aca="false">IF(AND(S$5&gt;=$E6,S$5&lt;=$G6),1,"")</f>
        <v/>
      </c>
      <c r="T6" s="13" t="str">
        <f aca="false">IF(AND(T$5&gt;=$E6,T$5&lt;=$G6),1,"")</f>
        <v/>
      </c>
      <c r="U6" s="13" t="str">
        <f aca="false">IF(AND(U$5&gt;=$E6,U$5&lt;=$G6),1,"")</f>
        <v/>
      </c>
      <c r="V6" s="13" t="str">
        <f aca="false">IF(AND(V$5&gt;=$E6,V$5&lt;=$G6),1,"")</f>
        <v/>
      </c>
      <c r="W6" s="13" t="str">
        <f aca="false">IF(AND(W$5&gt;=$E6,W$5&lt;=$G6),1,"")</f>
        <v/>
      </c>
      <c r="X6" s="13" t="str">
        <f aca="false">IF(AND(X$5&gt;=$E6,X$5&lt;=$G6),1,"")</f>
        <v/>
      </c>
      <c r="Y6" s="13" t="str">
        <f aca="false">IF(AND(Y$5&gt;=$E6,Y$5&lt;=$G6),1,"")</f>
        <v/>
      </c>
    </row>
    <row r="7" customFormat="false" ht="15" hidden="false" customHeight="false" outlineLevel="0" collapsed="false">
      <c r="A7" s="4" t="s">
        <v>53</v>
      </c>
      <c r="B7" s="4" t="s">
        <v>23</v>
      </c>
      <c r="C7" s="4" t="s">
        <v>54</v>
      </c>
      <c r="D7" s="4" t="s">
        <v>55</v>
      </c>
      <c r="E7" s="7" t="n">
        <v>3</v>
      </c>
      <c r="F7" s="7" t="n">
        <v>2</v>
      </c>
      <c r="G7" s="4" t="n">
        <f aca="false">E7+F7-1</f>
        <v>4</v>
      </c>
      <c r="H7" s="12" t="n">
        <f aca="false">$C$3+(E7-1)*7</f>
        <v>46041</v>
      </c>
      <c r="I7" s="12" t="n">
        <f aca="false">$C$3+G7*7-3</f>
        <v>46052</v>
      </c>
      <c r="J7" s="13" t="str">
        <f aca="false">IF(AND(J$5&gt;=$E7,J$5&lt;=$G7),1,"")</f>
        <v/>
      </c>
      <c r="K7" s="13" t="str">
        <f aca="false">IF(AND(K$5&gt;=$E7,K$5&lt;=$G7),1,"")</f>
        <v/>
      </c>
      <c r="L7" s="13" t="n">
        <f aca="false">IF(AND(L$5&gt;=$E7,L$5&lt;=$G7),1,"")</f>
        <v>1</v>
      </c>
      <c r="M7" s="13" t="n">
        <f aca="false">IF(AND(M$5&gt;=$E7,M$5&lt;=$G7),1,"")</f>
        <v>1</v>
      </c>
      <c r="N7" s="13" t="str">
        <f aca="false">IF(AND(N$5&gt;=$E7,N$5&lt;=$G7),1,"")</f>
        <v/>
      </c>
      <c r="O7" s="13" t="str">
        <f aca="false">IF(AND(O$5&gt;=$E7,O$5&lt;=$G7),1,"")</f>
        <v/>
      </c>
      <c r="P7" s="13" t="str">
        <f aca="false">IF(AND(P$5&gt;=$E7,P$5&lt;=$G7),1,"")</f>
        <v/>
      </c>
      <c r="Q7" s="13" t="str">
        <f aca="false">IF(AND(Q$5&gt;=$E7,Q$5&lt;=$G7),1,"")</f>
        <v/>
      </c>
      <c r="R7" s="13" t="str">
        <f aca="false">IF(AND(R$5&gt;=$E7,R$5&lt;=$G7),1,"")</f>
        <v/>
      </c>
      <c r="S7" s="13" t="str">
        <f aca="false">IF(AND(S$5&gt;=$E7,S$5&lt;=$G7),1,"")</f>
        <v/>
      </c>
      <c r="T7" s="13" t="str">
        <f aca="false">IF(AND(T$5&gt;=$E7,T$5&lt;=$G7),1,"")</f>
        <v/>
      </c>
      <c r="U7" s="13" t="str">
        <f aca="false">IF(AND(U$5&gt;=$E7,U$5&lt;=$G7),1,"")</f>
        <v/>
      </c>
      <c r="V7" s="13" t="str">
        <f aca="false">IF(AND(V$5&gt;=$E7,V$5&lt;=$G7),1,"")</f>
        <v/>
      </c>
      <c r="W7" s="13" t="str">
        <f aca="false">IF(AND(W$5&gt;=$E7,W$5&lt;=$G7),1,"")</f>
        <v/>
      </c>
      <c r="X7" s="13" t="str">
        <f aca="false">IF(AND(X$5&gt;=$E7,X$5&lt;=$G7),1,"")</f>
        <v/>
      </c>
      <c r="Y7" s="13" t="str">
        <f aca="false">IF(AND(Y$5&gt;=$E7,Y$5&lt;=$G7),1,"")</f>
        <v/>
      </c>
    </row>
    <row r="8" customFormat="false" ht="15" hidden="false" customHeight="false" outlineLevel="0" collapsed="false">
      <c r="A8" s="4" t="s">
        <v>56</v>
      </c>
      <c r="B8" s="4" t="s">
        <v>24</v>
      </c>
      <c r="C8" s="4" t="s">
        <v>57</v>
      </c>
      <c r="D8" s="4" t="s">
        <v>55</v>
      </c>
      <c r="E8" s="7" t="n">
        <v>5</v>
      </c>
      <c r="F8" s="7" t="n">
        <v>2</v>
      </c>
      <c r="G8" s="4" t="n">
        <f aca="false">E8+F8-1</f>
        <v>6</v>
      </c>
      <c r="H8" s="12" t="n">
        <f aca="false">$C$3+(E8-1)*7</f>
        <v>46055</v>
      </c>
      <c r="I8" s="12" t="n">
        <f aca="false">$C$3+G8*7-3</f>
        <v>46066</v>
      </c>
      <c r="J8" s="13" t="str">
        <f aca="false">IF(AND(J$5&gt;=$E8,J$5&lt;=$G8),1,"")</f>
        <v/>
      </c>
      <c r="K8" s="13" t="str">
        <f aca="false">IF(AND(K$5&gt;=$E8,K$5&lt;=$G8),1,"")</f>
        <v/>
      </c>
      <c r="L8" s="13" t="str">
        <f aca="false">IF(AND(L$5&gt;=$E8,L$5&lt;=$G8),1,"")</f>
        <v/>
      </c>
      <c r="M8" s="13" t="str">
        <f aca="false">IF(AND(M$5&gt;=$E8,M$5&lt;=$G8),1,"")</f>
        <v/>
      </c>
      <c r="N8" s="13" t="n">
        <f aca="false">IF(AND(N$5&gt;=$E8,N$5&lt;=$G8),1,"")</f>
        <v>1</v>
      </c>
      <c r="O8" s="13" t="n">
        <f aca="false">IF(AND(O$5&gt;=$E8,O$5&lt;=$G8),1,"")</f>
        <v>1</v>
      </c>
      <c r="P8" s="13" t="str">
        <f aca="false">IF(AND(P$5&gt;=$E8,P$5&lt;=$G8),1,"")</f>
        <v/>
      </c>
      <c r="Q8" s="13" t="str">
        <f aca="false">IF(AND(Q$5&gt;=$E8,Q$5&lt;=$G8),1,"")</f>
        <v/>
      </c>
      <c r="R8" s="13" t="str">
        <f aca="false">IF(AND(R$5&gt;=$E8,R$5&lt;=$G8),1,"")</f>
        <v/>
      </c>
      <c r="S8" s="13" t="str">
        <f aca="false">IF(AND(S$5&gt;=$E8,S$5&lt;=$G8),1,"")</f>
        <v/>
      </c>
      <c r="T8" s="13" t="str">
        <f aca="false">IF(AND(T$5&gt;=$E8,T$5&lt;=$G8),1,"")</f>
        <v/>
      </c>
      <c r="U8" s="13" t="str">
        <f aca="false">IF(AND(U$5&gt;=$E8,U$5&lt;=$G8),1,"")</f>
        <v/>
      </c>
      <c r="V8" s="13" t="str">
        <f aca="false">IF(AND(V$5&gt;=$E8,V$5&lt;=$G8),1,"")</f>
        <v/>
      </c>
      <c r="W8" s="13" t="str">
        <f aca="false">IF(AND(W$5&gt;=$E8,W$5&lt;=$G8),1,"")</f>
        <v/>
      </c>
      <c r="X8" s="13" t="str">
        <f aca="false">IF(AND(X$5&gt;=$E8,X$5&lt;=$G8),1,"")</f>
        <v/>
      </c>
      <c r="Y8" s="13" t="str">
        <f aca="false">IF(AND(Y$5&gt;=$E8,Y$5&lt;=$G8),1,"")</f>
        <v/>
      </c>
    </row>
    <row r="9" customFormat="false" ht="15" hidden="false" customHeight="false" outlineLevel="0" collapsed="false">
      <c r="A9" s="4" t="s">
        <v>58</v>
      </c>
      <c r="B9" s="4" t="s">
        <v>25</v>
      </c>
      <c r="C9" s="4" t="s">
        <v>59</v>
      </c>
      <c r="D9" s="4" t="s">
        <v>60</v>
      </c>
      <c r="E9" s="7" t="n">
        <v>7</v>
      </c>
      <c r="F9" s="7" t="n">
        <v>2</v>
      </c>
      <c r="G9" s="4" t="n">
        <f aca="false">E9+F9-1</f>
        <v>8</v>
      </c>
      <c r="H9" s="12" t="n">
        <f aca="false">$C$3+(E9-1)*7</f>
        <v>46069</v>
      </c>
      <c r="I9" s="12" t="n">
        <f aca="false">$C$3+G9*7-3</f>
        <v>46080</v>
      </c>
      <c r="J9" s="13" t="str">
        <f aca="false">IF(AND(J$5&gt;=$E9,J$5&lt;=$G9),1,"")</f>
        <v/>
      </c>
      <c r="K9" s="13" t="str">
        <f aca="false">IF(AND(K$5&gt;=$E9,K$5&lt;=$G9),1,"")</f>
        <v/>
      </c>
      <c r="L9" s="13" t="str">
        <f aca="false">IF(AND(L$5&gt;=$E9,L$5&lt;=$G9),1,"")</f>
        <v/>
      </c>
      <c r="M9" s="13" t="str">
        <f aca="false">IF(AND(M$5&gt;=$E9,M$5&lt;=$G9),1,"")</f>
        <v/>
      </c>
      <c r="N9" s="13" t="str">
        <f aca="false">IF(AND(N$5&gt;=$E9,N$5&lt;=$G9),1,"")</f>
        <v/>
      </c>
      <c r="O9" s="13" t="str">
        <f aca="false">IF(AND(O$5&gt;=$E9,O$5&lt;=$G9),1,"")</f>
        <v/>
      </c>
      <c r="P9" s="13" t="n">
        <f aca="false">IF(AND(P$5&gt;=$E9,P$5&lt;=$G9),1,"")</f>
        <v>1</v>
      </c>
      <c r="Q9" s="13" t="n">
        <f aca="false">IF(AND(Q$5&gt;=$E9,Q$5&lt;=$G9),1,"")</f>
        <v>1</v>
      </c>
      <c r="R9" s="13" t="str">
        <f aca="false">IF(AND(R$5&gt;=$E9,R$5&lt;=$G9),1,"")</f>
        <v/>
      </c>
      <c r="S9" s="13" t="str">
        <f aca="false">IF(AND(S$5&gt;=$E9,S$5&lt;=$G9),1,"")</f>
        <v/>
      </c>
      <c r="T9" s="13" t="str">
        <f aca="false">IF(AND(T$5&gt;=$E9,T$5&lt;=$G9),1,"")</f>
        <v/>
      </c>
      <c r="U9" s="13" t="str">
        <f aca="false">IF(AND(U$5&gt;=$E9,U$5&lt;=$G9),1,"")</f>
        <v/>
      </c>
      <c r="V9" s="13" t="str">
        <f aca="false">IF(AND(V$5&gt;=$E9,V$5&lt;=$G9),1,"")</f>
        <v/>
      </c>
      <c r="W9" s="13" t="str">
        <f aca="false">IF(AND(W$5&gt;=$E9,W$5&lt;=$G9),1,"")</f>
        <v/>
      </c>
      <c r="X9" s="13" t="str">
        <f aca="false">IF(AND(X$5&gt;=$E9,X$5&lt;=$G9),1,"")</f>
        <v/>
      </c>
      <c r="Y9" s="13" t="str">
        <f aca="false">IF(AND(Y$5&gt;=$E9,Y$5&lt;=$G9),1,"")</f>
        <v/>
      </c>
    </row>
    <row r="10" customFormat="false" ht="15" hidden="false" customHeight="false" outlineLevel="0" collapsed="false">
      <c r="A10" s="4" t="s">
        <v>61</v>
      </c>
      <c r="B10" s="4" t="s">
        <v>62</v>
      </c>
      <c r="C10" s="4" t="s">
        <v>63</v>
      </c>
      <c r="D10" s="4" t="s">
        <v>64</v>
      </c>
      <c r="E10" s="7" t="n">
        <v>8</v>
      </c>
      <c r="F10" s="7" t="n">
        <v>3</v>
      </c>
      <c r="G10" s="4" t="n">
        <f aca="false">E10+F10-1</f>
        <v>10</v>
      </c>
      <c r="H10" s="12" t="n">
        <f aca="false">$C$3+(E10-1)*7</f>
        <v>46076</v>
      </c>
      <c r="I10" s="12" t="n">
        <f aca="false">$C$3+G10*7-3</f>
        <v>46094</v>
      </c>
      <c r="J10" s="13" t="str">
        <f aca="false">IF(AND(J$5&gt;=$E10,J$5&lt;=$G10),1,"")</f>
        <v/>
      </c>
      <c r="K10" s="13" t="str">
        <f aca="false">IF(AND(K$5&gt;=$E10,K$5&lt;=$G10),1,"")</f>
        <v/>
      </c>
      <c r="L10" s="13" t="str">
        <f aca="false">IF(AND(L$5&gt;=$E10,L$5&lt;=$G10),1,"")</f>
        <v/>
      </c>
      <c r="M10" s="13" t="str">
        <f aca="false">IF(AND(M$5&gt;=$E10,M$5&lt;=$G10),1,"")</f>
        <v/>
      </c>
      <c r="N10" s="13" t="str">
        <f aca="false">IF(AND(N$5&gt;=$E10,N$5&lt;=$G10),1,"")</f>
        <v/>
      </c>
      <c r="O10" s="13" t="str">
        <f aca="false">IF(AND(O$5&gt;=$E10,O$5&lt;=$G10),1,"")</f>
        <v/>
      </c>
      <c r="P10" s="13" t="str">
        <f aca="false">IF(AND(P$5&gt;=$E10,P$5&lt;=$G10),1,"")</f>
        <v/>
      </c>
      <c r="Q10" s="13" t="n">
        <f aca="false">IF(AND(Q$5&gt;=$E10,Q$5&lt;=$G10),1,"")</f>
        <v>1</v>
      </c>
      <c r="R10" s="13" t="n">
        <f aca="false">IF(AND(R$5&gt;=$E10,R$5&lt;=$G10),1,"")</f>
        <v>1</v>
      </c>
      <c r="S10" s="13" t="n">
        <f aca="false">IF(AND(S$5&gt;=$E10,S$5&lt;=$G10),1,"")</f>
        <v>1</v>
      </c>
      <c r="T10" s="13" t="str">
        <f aca="false">IF(AND(T$5&gt;=$E10,T$5&lt;=$G10),1,"")</f>
        <v/>
      </c>
      <c r="U10" s="13" t="str">
        <f aca="false">IF(AND(U$5&gt;=$E10,U$5&lt;=$G10),1,"")</f>
        <v/>
      </c>
      <c r="V10" s="13" t="str">
        <f aca="false">IF(AND(V$5&gt;=$E10,V$5&lt;=$G10),1,"")</f>
        <v/>
      </c>
      <c r="W10" s="13" t="str">
        <f aca="false">IF(AND(W$5&gt;=$E10,W$5&lt;=$G10),1,"")</f>
        <v/>
      </c>
      <c r="X10" s="13" t="str">
        <f aca="false">IF(AND(X$5&gt;=$E10,X$5&lt;=$G10),1,"")</f>
        <v/>
      </c>
      <c r="Y10" s="13" t="str">
        <f aca="false">IF(AND(Y$5&gt;=$E10,Y$5&lt;=$G10),1,"")</f>
        <v/>
      </c>
    </row>
    <row r="11" customFormat="false" ht="15" hidden="false" customHeight="false" outlineLevel="0" collapsed="false">
      <c r="A11" s="4" t="s">
        <v>65</v>
      </c>
      <c r="B11" s="4" t="s">
        <v>26</v>
      </c>
      <c r="C11" s="4" t="s">
        <v>66</v>
      </c>
      <c r="D11" s="4" t="s">
        <v>55</v>
      </c>
      <c r="E11" s="7" t="n">
        <v>9</v>
      </c>
      <c r="F11" s="7" t="n">
        <v>2</v>
      </c>
      <c r="G11" s="4" t="n">
        <f aca="false">E11+F11-1</f>
        <v>10</v>
      </c>
      <c r="H11" s="12" t="n">
        <f aca="false">$C$3+(E11-1)*7</f>
        <v>46083</v>
      </c>
      <c r="I11" s="12" t="n">
        <f aca="false">$C$3+G11*7-3</f>
        <v>46094</v>
      </c>
      <c r="J11" s="13" t="str">
        <f aca="false">IF(AND(J$5&gt;=$E11,J$5&lt;=$G11),1,"")</f>
        <v/>
      </c>
      <c r="K11" s="13" t="str">
        <f aca="false">IF(AND(K$5&gt;=$E11,K$5&lt;=$G11),1,"")</f>
        <v/>
      </c>
      <c r="L11" s="13" t="str">
        <f aca="false">IF(AND(L$5&gt;=$E11,L$5&lt;=$G11),1,"")</f>
        <v/>
      </c>
      <c r="M11" s="13" t="str">
        <f aca="false">IF(AND(M$5&gt;=$E11,M$5&lt;=$G11),1,"")</f>
        <v/>
      </c>
      <c r="N11" s="13" t="str">
        <f aca="false">IF(AND(N$5&gt;=$E11,N$5&lt;=$G11),1,"")</f>
        <v/>
      </c>
      <c r="O11" s="13" t="str">
        <f aca="false">IF(AND(O$5&gt;=$E11,O$5&lt;=$G11),1,"")</f>
        <v/>
      </c>
      <c r="P11" s="13" t="str">
        <f aca="false">IF(AND(P$5&gt;=$E11,P$5&lt;=$G11),1,"")</f>
        <v/>
      </c>
      <c r="Q11" s="13" t="str">
        <f aca="false">IF(AND(Q$5&gt;=$E11,Q$5&lt;=$G11),1,"")</f>
        <v/>
      </c>
      <c r="R11" s="13" t="n">
        <f aca="false">IF(AND(R$5&gt;=$E11,R$5&lt;=$G11),1,"")</f>
        <v>1</v>
      </c>
      <c r="S11" s="13" t="n">
        <f aca="false">IF(AND(S$5&gt;=$E11,S$5&lt;=$G11),1,"")</f>
        <v>1</v>
      </c>
      <c r="T11" s="13" t="str">
        <f aca="false">IF(AND(T$5&gt;=$E11,T$5&lt;=$G11),1,"")</f>
        <v/>
      </c>
      <c r="U11" s="13" t="str">
        <f aca="false">IF(AND(U$5&gt;=$E11,U$5&lt;=$G11),1,"")</f>
        <v/>
      </c>
      <c r="V11" s="13" t="str">
        <f aca="false">IF(AND(V$5&gt;=$E11,V$5&lt;=$G11),1,"")</f>
        <v/>
      </c>
      <c r="W11" s="13" t="str">
        <f aca="false">IF(AND(W$5&gt;=$E11,W$5&lt;=$G11),1,"")</f>
        <v/>
      </c>
      <c r="X11" s="13" t="str">
        <f aca="false">IF(AND(X$5&gt;=$E11,X$5&lt;=$G11),1,"")</f>
        <v/>
      </c>
      <c r="Y11" s="13" t="str">
        <f aca="false">IF(AND(Y$5&gt;=$E11,Y$5&lt;=$G11),1,"")</f>
        <v/>
      </c>
    </row>
    <row r="12" customFormat="false" ht="15" hidden="false" customHeight="false" outlineLevel="0" collapsed="false">
      <c r="A12" s="4" t="s">
        <v>67</v>
      </c>
      <c r="B12" s="4" t="s">
        <v>27</v>
      </c>
      <c r="C12" s="4" t="s">
        <v>68</v>
      </c>
      <c r="D12" s="4" t="s">
        <v>52</v>
      </c>
      <c r="E12" s="7" t="n">
        <v>11</v>
      </c>
      <c r="F12" s="7" t="n">
        <v>2</v>
      </c>
      <c r="G12" s="4" t="n">
        <f aca="false">E12+F12-1</f>
        <v>12</v>
      </c>
      <c r="H12" s="12" t="n">
        <f aca="false">$C$3+(E12-1)*7</f>
        <v>46097</v>
      </c>
      <c r="I12" s="12" t="n">
        <f aca="false">$C$3+G12*7-3</f>
        <v>46108</v>
      </c>
      <c r="J12" s="13" t="str">
        <f aca="false">IF(AND(J$5&gt;=$E12,J$5&lt;=$G12),1,"")</f>
        <v/>
      </c>
      <c r="K12" s="13" t="str">
        <f aca="false">IF(AND(K$5&gt;=$E12,K$5&lt;=$G12),1,"")</f>
        <v/>
      </c>
      <c r="L12" s="13" t="str">
        <f aca="false">IF(AND(L$5&gt;=$E12,L$5&lt;=$G12),1,"")</f>
        <v/>
      </c>
      <c r="M12" s="13" t="str">
        <f aca="false">IF(AND(M$5&gt;=$E12,M$5&lt;=$G12),1,"")</f>
        <v/>
      </c>
      <c r="N12" s="13" t="str">
        <f aca="false">IF(AND(N$5&gt;=$E12,N$5&lt;=$G12),1,"")</f>
        <v/>
      </c>
      <c r="O12" s="13" t="str">
        <f aca="false">IF(AND(O$5&gt;=$E12,O$5&lt;=$G12),1,"")</f>
        <v/>
      </c>
      <c r="P12" s="13" t="str">
        <f aca="false">IF(AND(P$5&gt;=$E12,P$5&lt;=$G12),1,"")</f>
        <v/>
      </c>
      <c r="Q12" s="13" t="str">
        <f aca="false">IF(AND(Q$5&gt;=$E12,Q$5&lt;=$G12),1,"")</f>
        <v/>
      </c>
      <c r="R12" s="13" t="str">
        <f aca="false">IF(AND(R$5&gt;=$E12,R$5&lt;=$G12),1,"")</f>
        <v/>
      </c>
      <c r="S12" s="13" t="str">
        <f aca="false">IF(AND(S$5&gt;=$E12,S$5&lt;=$G12),1,"")</f>
        <v/>
      </c>
      <c r="T12" s="13" t="n">
        <f aca="false">IF(AND(T$5&gt;=$E12,T$5&lt;=$G12),1,"")</f>
        <v>1</v>
      </c>
      <c r="U12" s="13" t="n">
        <f aca="false">IF(AND(U$5&gt;=$E12,U$5&lt;=$G12),1,"")</f>
        <v>1</v>
      </c>
      <c r="V12" s="13" t="str">
        <f aca="false">IF(AND(V$5&gt;=$E12,V$5&lt;=$G12),1,"")</f>
        <v/>
      </c>
      <c r="W12" s="13" t="str">
        <f aca="false">IF(AND(W$5&gt;=$E12,W$5&lt;=$G12),1,"")</f>
        <v/>
      </c>
      <c r="X12" s="13" t="str">
        <f aca="false">IF(AND(X$5&gt;=$E12,X$5&lt;=$G12),1,"")</f>
        <v/>
      </c>
      <c r="Y12" s="13" t="str">
        <f aca="false">IF(AND(Y$5&gt;=$E12,Y$5&lt;=$G12),1,"")</f>
        <v/>
      </c>
    </row>
    <row r="13" customFormat="false" ht="15" hidden="false" customHeight="false" outlineLevel="0" collapsed="false">
      <c r="A13" s="4" t="s">
        <v>69</v>
      </c>
      <c r="B13" s="4" t="s">
        <v>70</v>
      </c>
      <c r="C13" s="4" t="s">
        <v>71</v>
      </c>
      <c r="D13" s="4" t="s">
        <v>52</v>
      </c>
      <c r="E13" s="7" t="n">
        <v>13</v>
      </c>
      <c r="F13" s="7" t="n">
        <v>1</v>
      </c>
      <c r="G13" s="4" t="n">
        <f aca="false">E13+F13-1</f>
        <v>13</v>
      </c>
      <c r="H13" s="12" t="n">
        <f aca="false">$C$3+(E13-1)*7</f>
        <v>46111</v>
      </c>
      <c r="I13" s="12" t="n">
        <f aca="false">$C$3+G13*7-3</f>
        <v>46115</v>
      </c>
      <c r="J13" s="13" t="str">
        <f aca="false">IF(AND(J$5&gt;=$E13,J$5&lt;=$G13),1,"")</f>
        <v/>
      </c>
      <c r="K13" s="13" t="str">
        <f aca="false">IF(AND(K$5&gt;=$E13,K$5&lt;=$G13),1,"")</f>
        <v/>
      </c>
      <c r="L13" s="13" t="str">
        <f aca="false">IF(AND(L$5&gt;=$E13,L$5&lt;=$G13),1,"")</f>
        <v/>
      </c>
      <c r="M13" s="13" t="str">
        <f aca="false">IF(AND(M$5&gt;=$E13,M$5&lt;=$G13),1,"")</f>
        <v/>
      </c>
      <c r="N13" s="13" t="str">
        <f aca="false">IF(AND(N$5&gt;=$E13,N$5&lt;=$G13),1,"")</f>
        <v/>
      </c>
      <c r="O13" s="13" t="str">
        <f aca="false">IF(AND(O$5&gt;=$E13,O$5&lt;=$G13),1,"")</f>
        <v/>
      </c>
      <c r="P13" s="13" t="str">
        <f aca="false">IF(AND(P$5&gt;=$E13,P$5&lt;=$G13),1,"")</f>
        <v/>
      </c>
      <c r="Q13" s="13" t="str">
        <f aca="false">IF(AND(Q$5&gt;=$E13,Q$5&lt;=$G13),1,"")</f>
        <v/>
      </c>
      <c r="R13" s="13" t="str">
        <f aca="false">IF(AND(R$5&gt;=$E13,R$5&lt;=$G13),1,"")</f>
        <v/>
      </c>
      <c r="S13" s="13" t="str">
        <f aca="false">IF(AND(S$5&gt;=$E13,S$5&lt;=$G13),1,"")</f>
        <v/>
      </c>
      <c r="T13" s="13" t="str">
        <f aca="false">IF(AND(T$5&gt;=$E13,T$5&lt;=$G13),1,"")</f>
        <v/>
      </c>
      <c r="U13" s="13" t="str">
        <f aca="false">IF(AND(U$5&gt;=$E13,U$5&lt;=$G13),1,"")</f>
        <v/>
      </c>
      <c r="V13" s="13" t="n">
        <f aca="false">IF(AND(V$5&gt;=$E13,V$5&lt;=$G13),1,"")</f>
        <v>1</v>
      </c>
      <c r="W13" s="13" t="str">
        <f aca="false">IF(AND(W$5&gt;=$E13,W$5&lt;=$G13),1,"")</f>
        <v/>
      </c>
      <c r="X13" s="13" t="str">
        <f aca="false">IF(AND(X$5&gt;=$E13,X$5&lt;=$G13),1,"")</f>
        <v/>
      </c>
      <c r="Y13" s="13" t="str">
        <f aca="false">IF(AND(Y$5&gt;=$E13,Y$5&lt;=$G13),1,"")</f>
        <v/>
      </c>
    </row>
    <row r="14" customFormat="false" ht="15" hidden="false" customHeight="false" outlineLevel="0" collapsed="false">
      <c r="A14" s="4" t="s">
        <v>72</v>
      </c>
      <c r="B14" s="4" t="s">
        <v>73</v>
      </c>
      <c r="C14" s="4" t="s">
        <v>74</v>
      </c>
      <c r="D14" s="4" t="s">
        <v>55</v>
      </c>
      <c r="E14" s="7" t="n">
        <v>13</v>
      </c>
      <c r="F14" s="7" t="n">
        <v>3</v>
      </c>
      <c r="G14" s="4" t="n">
        <f aca="false">E14+F14-1</f>
        <v>15</v>
      </c>
      <c r="H14" s="12" t="n">
        <f aca="false">$C$3+(E14-1)*7</f>
        <v>46111</v>
      </c>
      <c r="I14" s="12" t="n">
        <f aca="false">$C$3+G14*7-3</f>
        <v>46129</v>
      </c>
      <c r="J14" s="13" t="str">
        <f aca="false">IF(AND(J$5&gt;=$E14,J$5&lt;=$G14),1,"")</f>
        <v/>
      </c>
      <c r="K14" s="13" t="str">
        <f aca="false">IF(AND(K$5&gt;=$E14,K$5&lt;=$G14),1,"")</f>
        <v/>
      </c>
      <c r="L14" s="13" t="str">
        <f aca="false">IF(AND(L$5&gt;=$E14,L$5&lt;=$G14),1,"")</f>
        <v/>
      </c>
      <c r="M14" s="13" t="str">
        <f aca="false">IF(AND(M$5&gt;=$E14,M$5&lt;=$G14),1,"")</f>
        <v/>
      </c>
      <c r="N14" s="13" t="str">
        <f aca="false">IF(AND(N$5&gt;=$E14,N$5&lt;=$G14),1,"")</f>
        <v/>
      </c>
      <c r="O14" s="13" t="str">
        <f aca="false">IF(AND(O$5&gt;=$E14,O$5&lt;=$G14),1,"")</f>
        <v/>
      </c>
      <c r="P14" s="13" t="str">
        <f aca="false">IF(AND(P$5&gt;=$E14,P$5&lt;=$G14),1,"")</f>
        <v/>
      </c>
      <c r="Q14" s="13" t="str">
        <f aca="false">IF(AND(Q$5&gt;=$E14,Q$5&lt;=$G14),1,"")</f>
        <v/>
      </c>
      <c r="R14" s="13" t="str">
        <f aca="false">IF(AND(R$5&gt;=$E14,R$5&lt;=$G14),1,"")</f>
        <v/>
      </c>
      <c r="S14" s="13" t="str">
        <f aca="false">IF(AND(S$5&gt;=$E14,S$5&lt;=$G14),1,"")</f>
        <v/>
      </c>
      <c r="T14" s="13" t="str">
        <f aca="false">IF(AND(T$5&gt;=$E14,T$5&lt;=$G14),1,"")</f>
        <v/>
      </c>
      <c r="U14" s="13" t="str">
        <f aca="false">IF(AND(U$5&gt;=$E14,U$5&lt;=$G14),1,"")</f>
        <v/>
      </c>
      <c r="V14" s="13" t="n">
        <f aca="false">IF(AND(V$5&gt;=$E14,V$5&lt;=$G14),1,"")</f>
        <v>1</v>
      </c>
      <c r="W14" s="13" t="n">
        <f aca="false">IF(AND(W$5&gt;=$E14,W$5&lt;=$G14),1,"")</f>
        <v>1</v>
      </c>
      <c r="X14" s="13" t="n">
        <f aca="false">IF(AND(X$5&gt;=$E14,X$5&lt;=$G14),1,"")</f>
        <v>1</v>
      </c>
      <c r="Y14" s="13" t="str">
        <f aca="false">IF(AND(Y$5&gt;=$E14,Y$5&lt;=$G14),1,"")</f>
        <v/>
      </c>
    </row>
    <row r="15" customFormat="false" ht="15" hidden="false" customHeight="false" outlineLevel="0" collapsed="false">
      <c r="A15" s="4" t="s">
        <v>75</v>
      </c>
      <c r="B15" s="4" t="s">
        <v>76</v>
      </c>
      <c r="C15" s="3" t="s">
        <v>77</v>
      </c>
      <c r="D15" s="4"/>
      <c r="E15" s="7" t="n">
        <v>1</v>
      </c>
      <c r="F15" s="7" t="n">
        <v>0</v>
      </c>
      <c r="G15" s="4" t="n">
        <f aca="false">E15</f>
        <v>1</v>
      </c>
      <c r="H15" s="12" t="n">
        <f aca="false">$C$3+(E15-1)*7</f>
        <v>46027</v>
      </c>
      <c r="I15" s="12" t="n">
        <f aca="false">H15</f>
        <v>46027</v>
      </c>
      <c r="J15" s="13" t="str">
        <f aca="false">IF(J$5=$E15,"◆","")</f>
        <v>◆</v>
      </c>
      <c r="K15" s="13" t="str">
        <f aca="false">IF(K$5=$E15,"◆","")</f>
        <v/>
      </c>
      <c r="L15" s="13" t="str">
        <f aca="false">IF(L$5=$E15,"◆","")</f>
        <v/>
      </c>
      <c r="M15" s="13" t="str">
        <f aca="false">IF(M$5=$E15,"◆","")</f>
        <v/>
      </c>
      <c r="N15" s="13" t="str">
        <f aca="false">IF(N$5=$E15,"◆","")</f>
        <v/>
      </c>
      <c r="O15" s="13" t="str">
        <f aca="false">IF(O$5=$E15,"◆","")</f>
        <v/>
      </c>
      <c r="P15" s="13" t="str">
        <f aca="false">IF(P$5=$E15,"◆","")</f>
        <v/>
      </c>
      <c r="Q15" s="13" t="str">
        <f aca="false">IF(Q$5=$E15,"◆","")</f>
        <v/>
      </c>
      <c r="R15" s="13" t="str">
        <f aca="false">IF(R$5=$E15,"◆","")</f>
        <v/>
      </c>
      <c r="S15" s="13" t="str">
        <f aca="false">IF(S$5=$E15,"◆","")</f>
        <v/>
      </c>
      <c r="T15" s="13" t="str">
        <f aca="false">IF(T$5=$E15,"◆","")</f>
        <v/>
      </c>
      <c r="U15" s="13" t="str">
        <f aca="false">IF(U$5=$E15,"◆","")</f>
        <v/>
      </c>
      <c r="V15" s="13" t="str">
        <f aca="false">IF(V$5=$E15,"◆","")</f>
        <v/>
      </c>
      <c r="W15" s="13" t="str">
        <f aca="false">IF(W$5=$E15,"◆","")</f>
        <v/>
      </c>
      <c r="X15" s="13" t="str">
        <f aca="false">IF(X$5=$E15,"◆","")</f>
        <v/>
      </c>
      <c r="Y15" s="13" t="str">
        <f aca="false">IF(Y$5=$E15,"◆","")</f>
        <v/>
      </c>
    </row>
    <row r="16" customFormat="false" ht="15" hidden="false" customHeight="false" outlineLevel="0" collapsed="false">
      <c r="A16" s="4" t="s">
        <v>78</v>
      </c>
      <c r="B16" s="4" t="s">
        <v>76</v>
      </c>
      <c r="C16" s="3" t="s">
        <v>79</v>
      </c>
      <c r="D16" s="4"/>
      <c r="E16" s="7" t="n">
        <v>2</v>
      </c>
      <c r="F16" s="7" t="n">
        <v>0</v>
      </c>
      <c r="G16" s="4" t="n">
        <f aca="false">E16</f>
        <v>2</v>
      </c>
      <c r="H16" s="12" t="n">
        <f aca="false">$C$3+(E16-1)*7</f>
        <v>46034</v>
      </c>
      <c r="I16" s="12" t="n">
        <f aca="false">H16</f>
        <v>46034</v>
      </c>
      <c r="J16" s="13" t="str">
        <f aca="false">IF(J$5=$E16,"◆","")</f>
        <v/>
      </c>
      <c r="K16" s="13" t="str">
        <f aca="false">IF(K$5=$E16,"◆","")</f>
        <v>◆</v>
      </c>
      <c r="L16" s="13" t="str">
        <f aca="false">IF(L$5=$E16,"◆","")</f>
        <v/>
      </c>
      <c r="M16" s="13" t="str">
        <f aca="false">IF(M$5=$E16,"◆","")</f>
        <v/>
      </c>
      <c r="N16" s="13" t="str">
        <f aca="false">IF(N$5=$E16,"◆","")</f>
        <v/>
      </c>
      <c r="O16" s="13" t="str">
        <f aca="false">IF(O$5=$E16,"◆","")</f>
        <v/>
      </c>
      <c r="P16" s="13" t="str">
        <f aca="false">IF(P$5=$E16,"◆","")</f>
        <v/>
      </c>
      <c r="Q16" s="13" t="str">
        <f aca="false">IF(Q$5=$E16,"◆","")</f>
        <v/>
      </c>
      <c r="R16" s="13" t="str">
        <f aca="false">IF(R$5=$E16,"◆","")</f>
        <v/>
      </c>
      <c r="S16" s="13" t="str">
        <f aca="false">IF(S$5=$E16,"◆","")</f>
        <v/>
      </c>
      <c r="T16" s="13" t="str">
        <f aca="false">IF(T$5=$E16,"◆","")</f>
        <v/>
      </c>
      <c r="U16" s="13" t="str">
        <f aca="false">IF(U$5=$E16,"◆","")</f>
        <v/>
      </c>
      <c r="V16" s="13" t="str">
        <f aca="false">IF(V$5=$E16,"◆","")</f>
        <v/>
      </c>
      <c r="W16" s="13" t="str">
        <f aca="false">IF(W$5=$E16,"◆","")</f>
        <v/>
      </c>
      <c r="X16" s="13" t="str">
        <f aca="false">IF(X$5=$E16,"◆","")</f>
        <v/>
      </c>
      <c r="Y16" s="13" t="str">
        <f aca="false">IF(Y$5=$E16,"◆","")</f>
        <v/>
      </c>
    </row>
    <row r="17" customFormat="false" ht="15" hidden="false" customHeight="false" outlineLevel="0" collapsed="false">
      <c r="A17" s="4" t="s">
        <v>80</v>
      </c>
      <c r="B17" s="4" t="s">
        <v>76</v>
      </c>
      <c r="C17" s="3" t="s">
        <v>81</v>
      </c>
      <c r="D17" s="4"/>
      <c r="E17" s="7" t="n">
        <v>6</v>
      </c>
      <c r="F17" s="7" t="n">
        <v>0</v>
      </c>
      <c r="G17" s="4" t="n">
        <f aca="false">E17</f>
        <v>6</v>
      </c>
      <c r="H17" s="12" t="n">
        <f aca="false">$C$3+(E17-1)*7</f>
        <v>46062</v>
      </c>
      <c r="I17" s="12" t="n">
        <f aca="false">H17</f>
        <v>46062</v>
      </c>
      <c r="J17" s="13" t="str">
        <f aca="false">IF(J$5=$E17,"◆","")</f>
        <v/>
      </c>
      <c r="K17" s="13" t="str">
        <f aca="false">IF(K$5=$E17,"◆","")</f>
        <v/>
      </c>
      <c r="L17" s="13" t="str">
        <f aca="false">IF(L$5=$E17,"◆","")</f>
        <v/>
      </c>
      <c r="M17" s="13" t="str">
        <f aca="false">IF(M$5=$E17,"◆","")</f>
        <v/>
      </c>
      <c r="N17" s="13" t="str">
        <f aca="false">IF(N$5=$E17,"◆","")</f>
        <v/>
      </c>
      <c r="O17" s="13" t="str">
        <f aca="false">IF(O$5=$E17,"◆","")</f>
        <v>◆</v>
      </c>
      <c r="P17" s="13" t="str">
        <f aca="false">IF(P$5=$E17,"◆","")</f>
        <v/>
      </c>
      <c r="Q17" s="13" t="str">
        <f aca="false">IF(Q$5=$E17,"◆","")</f>
        <v/>
      </c>
      <c r="R17" s="13" t="str">
        <f aca="false">IF(R$5=$E17,"◆","")</f>
        <v/>
      </c>
      <c r="S17" s="13" t="str">
        <f aca="false">IF(S$5=$E17,"◆","")</f>
        <v/>
      </c>
      <c r="T17" s="13" t="str">
        <f aca="false">IF(T$5=$E17,"◆","")</f>
        <v/>
      </c>
      <c r="U17" s="13" t="str">
        <f aca="false">IF(U$5=$E17,"◆","")</f>
        <v/>
      </c>
      <c r="V17" s="13" t="str">
        <f aca="false">IF(V$5=$E17,"◆","")</f>
        <v/>
      </c>
      <c r="W17" s="13" t="str">
        <f aca="false">IF(W$5=$E17,"◆","")</f>
        <v/>
      </c>
      <c r="X17" s="13" t="str">
        <f aca="false">IF(X$5=$E17,"◆","")</f>
        <v/>
      </c>
      <c r="Y17" s="13" t="str">
        <f aca="false">IF(Y$5=$E17,"◆","")</f>
        <v/>
      </c>
    </row>
    <row r="18" customFormat="false" ht="15" hidden="false" customHeight="false" outlineLevel="0" collapsed="false">
      <c r="A18" s="4" t="s">
        <v>82</v>
      </c>
      <c r="B18" s="4" t="s">
        <v>76</v>
      </c>
      <c r="C18" s="3" t="s">
        <v>83</v>
      </c>
      <c r="D18" s="4"/>
      <c r="E18" s="7" t="n">
        <v>8</v>
      </c>
      <c r="F18" s="7" t="n">
        <v>0</v>
      </c>
      <c r="G18" s="4" t="n">
        <f aca="false">E18</f>
        <v>8</v>
      </c>
      <c r="H18" s="12" t="n">
        <f aca="false">$C$3+(E18-1)*7</f>
        <v>46076</v>
      </c>
      <c r="I18" s="12" t="n">
        <f aca="false">H18</f>
        <v>46076</v>
      </c>
      <c r="J18" s="13" t="str">
        <f aca="false">IF(J$5=$E18,"◆","")</f>
        <v/>
      </c>
      <c r="K18" s="13" t="str">
        <f aca="false">IF(K$5=$E18,"◆","")</f>
        <v/>
      </c>
      <c r="L18" s="13" t="str">
        <f aca="false">IF(L$5=$E18,"◆","")</f>
        <v/>
      </c>
      <c r="M18" s="13" t="str">
        <f aca="false">IF(M$5=$E18,"◆","")</f>
        <v/>
      </c>
      <c r="N18" s="13" t="str">
        <f aca="false">IF(N$5=$E18,"◆","")</f>
        <v/>
      </c>
      <c r="O18" s="13" t="str">
        <f aca="false">IF(O$5=$E18,"◆","")</f>
        <v/>
      </c>
      <c r="P18" s="13" t="str">
        <f aca="false">IF(P$5=$E18,"◆","")</f>
        <v/>
      </c>
      <c r="Q18" s="13" t="str">
        <f aca="false">IF(Q$5=$E18,"◆","")</f>
        <v>◆</v>
      </c>
      <c r="R18" s="13" t="str">
        <f aca="false">IF(R$5=$E18,"◆","")</f>
        <v/>
      </c>
      <c r="S18" s="13" t="str">
        <f aca="false">IF(S$5=$E18,"◆","")</f>
        <v/>
      </c>
      <c r="T18" s="13" t="str">
        <f aca="false">IF(T$5=$E18,"◆","")</f>
        <v/>
      </c>
      <c r="U18" s="13" t="str">
        <f aca="false">IF(U$5=$E18,"◆","")</f>
        <v/>
      </c>
      <c r="V18" s="13" t="str">
        <f aca="false">IF(V$5=$E18,"◆","")</f>
        <v/>
      </c>
      <c r="W18" s="13" t="str">
        <f aca="false">IF(W$5=$E18,"◆","")</f>
        <v/>
      </c>
      <c r="X18" s="13" t="str">
        <f aca="false">IF(X$5=$E18,"◆","")</f>
        <v/>
      </c>
      <c r="Y18" s="13" t="str">
        <f aca="false">IF(Y$5=$E18,"◆","")</f>
        <v/>
      </c>
    </row>
    <row r="19" customFormat="false" ht="15" hidden="false" customHeight="false" outlineLevel="0" collapsed="false">
      <c r="A19" s="4" t="s">
        <v>84</v>
      </c>
      <c r="B19" s="4" t="s">
        <v>76</v>
      </c>
      <c r="C19" s="3" t="s">
        <v>85</v>
      </c>
      <c r="D19" s="4"/>
      <c r="E19" s="7" t="n">
        <v>12</v>
      </c>
      <c r="F19" s="7" t="n">
        <v>0</v>
      </c>
      <c r="G19" s="4" t="n">
        <f aca="false">E19</f>
        <v>12</v>
      </c>
      <c r="H19" s="12" t="n">
        <f aca="false">$C$3+(E19-1)*7</f>
        <v>46104</v>
      </c>
      <c r="I19" s="12" t="n">
        <f aca="false">H19</f>
        <v>46104</v>
      </c>
      <c r="J19" s="13" t="str">
        <f aca="false">IF(J$5=$E19,"◆","")</f>
        <v/>
      </c>
      <c r="K19" s="13" t="str">
        <f aca="false">IF(K$5=$E19,"◆","")</f>
        <v/>
      </c>
      <c r="L19" s="13" t="str">
        <f aca="false">IF(L$5=$E19,"◆","")</f>
        <v/>
      </c>
      <c r="M19" s="13" t="str">
        <f aca="false">IF(M$5=$E19,"◆","")</f>
        <v/>
      </c>
      <c r="N19" s="13" t="str">
        <f aca="false">IF(N$5=$E19,"◆","")</f>
        <v/>
      </c>
      <c r="O19" s="13" t="str">
        <f aca="false">IF(O$5=$E19,"◆","")</f>
        <v/>
      </c>
      <c r="P19" s="13" t="str">
        <f aca="false">IF(P$5=$E19,"◆","")</f>
        <v/>
      </c>
      <c r="Q19" s="13" t="str">
        <f aca="false">IF(Q$5=$E19,"◆","")</f>
        <v/>
      </c>
      <c r="R19" s="13" t="str">
        <f aca="false">IF(R$5=$E19,"◆","")</f>
        <v/>
      </c>
      <c r="S19" s="13" t="str">
        <f aca="false">IF(S$5=$E19,"◆","")</f>
        <v/>
      </c>
      <c r="T19" s="13" t="str">
        <f aca="false">IF(T$5=$E19,"◆","")</f>
        <v/>
      </c>
      <c r="U19" s="13" t="str">
        <f aca="false">IF(U$5=$E19,"◆","")</f>
        <v>◆</v>
      </c>
      <c r="V19" s="13" t="str">
        <f aca="false">IF(V$5=$E19,"◆","")</f>
        <v/>
      </c>
      <c r="W19" s="13" t="str">
        <f aca="false">IF(W$5=$E19,"◆","")</f>
        <v/>
      </c>
      <c r="X19" s="13" t="str">
        <f aca="false">IF(X$5=$E19,"◆","")</f>
        <v/>
      </c>
      <c r="Y19" s="13" t="str">
        <f aca="false">IF(Y$5=$E19,"◆","")</f>
        <v/>
      </c>
    </row>
    <row r="20" customFormat="false" ht="15" hidden="false" customHeight="false" outlineLevel="0" collapsed="false">
      <c r="A20" s="4" t="s">
        <v>86</v>
      </c>
      <c r="B20" s="4" t="s">
        <v>76</v>
      </c>
      <c r="C20" s="3" t="s">
        <v>71</v>
      </c>
      <c r="D20" s="4"/>
      <c r="E20" s="7" t="n">
        <v>13</v>
      </c>
      <c r="F20" s="7" t="n">
        <v>0</v>
      </c>
      <c r="G20" s="4" t="n">
        <f aca="false">E20</f>
        <v>13</v>
      </c>
      <c r="H20" s="12" t="n">
        <f aca="false">$C$3+(E20-1)*7</f>
        <v>46111</v>
      </c>
      <c r="I20" s="12" t="n">
        <f aca="false">H20</f>
        <v>46111</v>
      </c>
      <c r="J20" s="13" t="str">
        <f aca="false">IF(J$5=$E20,"◆","")</f>
        <v/>
      </c>
      <c r="K20" s="13" t="str">
        <f aca="false">IF(K$5=$E20,"◆","")</f>
        <v/>
      </c>
      <c r="L20" s="13" t="str">
        <f aca="false">IF(L$5=$E20,"◆","")</f>
        <v/>
      </c>
      <c r="M20" s="13" t="str">
        <f aca="false">IF(M$5=$E20,"◆","")</f>
        <v/>
      </c>
      <c r="N20" s="13" t="str">
        <f aca="false">IF(N$5=$E20,"◆","")</f>
        <v/>
      </c>
      <c r="O20" s="13" t="str">
        <f aca="false">IF(O$5=$E20,"◆","")</f>
        <v/>
      </c>
      <c r="P20" s="13" t="str">
        <f aca="false">IF(P$5=$E20,"◆","")</f>
        <v/>
      </c>
      <c r="Q20" s="13" t="str">
        <f aca="false">IF(Q$5=$E20,"◆","")</f>
        <v/>
      </c>
      <c r="R20" s="13" t="str">
        <f aca="false">IF(R$5=$E20,"◆","")</f>
        <v/>
      </c>
      <c r="S20" s="13" t="str">
        <f aca="false">IF(S$5=$E20,"◆","")</f>
        <v/>
      </c>
      <c r="T20" s="13" t="str">
        <f aca="false">IF(T$5=$E20,"◆","")</f>
        <v/>
      </c>
      <c r="U20" s="13" t="str">
        <f aca="false">IF(U$5=$E20,"◆","")</f>
        <v/>
      </c>
      <c r="V20" s="13" t="str">
        <f aca="false">IF(V$5=$E20,"◆","")</f>
        <v>◆</v>
      </c>
      <c r="W20" s="13" t="str">
        <f aca="false">IF(W$5=$E20,"◆","")</f>
        <v/>
      </c>
      <c r="X20" s="13" t="str">
        <f aca="false">IF(X$5=$E20,"◆","")</f>
        <v/>
      </c>
      <c r="Y20" s="13" t="str">
        <f aca="false">IF(Y$5=$E20,"◆","")</f>
        <v/>
      </c>
    </row>
    <row r="21" customFormat="false" ht="15" hidden="false" customHeight="false" outlineLevel="0" collapsed="false">
      <c r="A21" s="4" t="s">
        <v>87</v>
      </c>
      <c r="B21" s="4" t="s">
        <v>76</v>
      </c>
      <c r="C21" s="3" t="s">
        <v>88</v>
      </c>
      <c r="D21" s="4"/>
      <c r="E21" s="7" t="n">
        <v>15</v>
      </c>
      <c r="F21" s="7" t="n">
        <v>0</v>
      </c>
      <c r="G21" s="4" t="n">
        <f aca="false">E21</f>
        <v>15</v>
      </c>
      <c r="H21" s="12" t="n">
        <f aca="false">$C$3+(E21-1)*7</f>
        <v>46125</v>
      </c>
      <c r="I21" s="12" t="n">
        <f aca="false">H21</f>
        <v>46125</v>
      </c>
      <c r="J21" s="13" t="str">
        <f aca="false">IF(J$5=$E21,"◆","")</f>
        <v/>
      </c>
      <c r="K21" s="13" t="str">
        <f aca="false">IF(K$5=$E21,"◆","")</f>
        <v/>
      </c>
      <c r="L21" s="13" t="str">
        <f aca="false">IF(L$5=$E21,"◆","")</f>
        <v/>
      </c>
      <c r="M21" s="13" t="str">
        <f aca="false">IF(M$5=$E21,"◆","")</f>
        <v/>
      </c>
      <c r="N21" s="13" t="str">
        <f aca="false">IF(N$5=$E21,"◆","")</f>
        <v/>
      </c>
      <c r="O21" s="13" t="str">
        <f aca="false">IF(O$5=$E21,"◆","")</f>
        <v/>
      </c>
      <c r="P21" s="13" t="str">
        <f aca="false">IF(P$5=$E21,"◆","")</f>
        <v/>
      </c>
      <c r="Q21" s="13" t="str">
        <f aca="false">IF(Q$5=$E21,"◆","")</f>
        <v/>
      </c>
      <c r="R21" s="13" t="str">
        <f aca="false">IF(R$5=$E21,"◆","")</f>
        <v/>
      </c>
      <c r="S21" s="13" t="str">
        <f aca="false">IF(S$5=$E21,"◆","")</f>
        <v/>
      </c>
      <c r="T21" s="13" t="str">
        <f aca="false">IF(T$5=$E21,"◆","")</f>
        <v/>
      </c>
      <c r="U21" s="13" t="str">
        <f aca="false">IF(U$5=$E21,"◆","")</f>
        <v/>
      </c>
      <c r="V21" s="13" t="str">
        <f aca="false">IF(V$5=$E21,"◆","")</f>
        <v/>
      </c>
      <c r="W21" s="13" t="str">
        <f aca="false">IF(W$5=$E21,"◆","")</f>
        <v/>
      </c>
      <c r="X21" s="13" t="str">
        <f aca="false">IF(X$5=$E21,"◆","")</f>
        <v>◆</v>
      </c>
      <c r="Y21" s="13" t="str">
        <f aca="false">IF(Y$5=$E21,"◆","")</f>
        <v/>
      </c>
    </row>
  </sheetData>
  <conditionalFormatting sqref="J6:Y21">
    <cfRule type="cellIs" priority="2" operator="equal" aboveAverage="0" equalAverage="0" bottom="0" percent="0" rank="0" text="" dxfId="0">
      <formula>1</formula>
    </cfRule>
    <cfRule type="expression" priority="3" aboveAverage="0" equalAverage="0" bottom="0" percent="0" rank="0" text="" dxfId="1">
      <formula>J6="◆"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32"/>
    <col collapsed="false" customWidth="true" hidden="false" outlineLevel="0" max="5" min="4" style="0" width="11"/>
    <col collapsed="false" customWidth="true" hidden="false" outlineLevel="0" max="6" min="6" style="0" width="50"/>
  </cols>
  <sheetData>
    <row r="1" customFormat="false" ht="17.35" hidden="false" customHeight="false" outlineLevel="0" collapsed="false">
      <c r="A1" s="1" t="s">
        <v>89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6" t="s">
        <v>90</v>
      </c>
      <c r="B4" s="6" t="s">
        <v>91</v>
      </c>
      <c r="C4" s="6" t="s">
        <v>92</v>
      </c>
      <c r="D4" s="6" t="s">
        <v>93</v>
      </c>
      <c r="E4" s="6" t="s">
        <v>94</v>
      </c>
      <c r="F4" s="6" t="s">
        <v>95</v>
      </c>
    </row>
    <row r="5" customFormat="false" ht="15" hidden="false" customHeight="false" outlineLevel="0" collapsed="false">
      <c r="A5" s="14" t="s">
        <v>96</v>
      </c>
      <c r="B5" s="14" t="s">
        <v>97</v>
      </c>
      <c r="C5" s="14" t="s">
        <v>98</v>
      </c>
      <c r="D5" s="14" t="s">
        <v>99</v>
      </c>
      <c r="E5" s="14" t="s">
        <v>99</v>
      </c>
      <c r="F5" s="14" t="s">
        <v>100</v>
      </c>
    </row>
    <row r="6" customFormat="false" ht="26.85" hidden="false" customHeight="false" outlineLevel="0" collapsed="false">
      <c r="A6" s="14" t="s">
        <v>101</v>
      </c>
      <c r="B6" s="14" t="s">
        <v>102</v>
      </c>
      <c r="C6" s="14" t="s">
        <v>103</v>
      </c>
      <c r="D6" s="14" t="s">
        <v>99</v>
      </c>
      <c r="E6" s="14" t="s">
        <v>99</v>
      </c>
      <c r="F6" s="14" t="s">
        <v>104</v>
      </c>
    </row>
    <row r="7" customFormat="false" ht="26.85" hidden="false" customHeight="false" outlineLevel="0" collapsed="false">
      <c r="A7" s="14" t="s">
        <v>105</v>
      </c>
      <c r="B7" s="14" t="s">
        <v>106</v>
      </c>
      <c r="C7" s="14" t="s">
        <v>107</v>
      </c>
      <c r="D7" s="14" t="s">
        <v>99</v>
      </c>
      <c r="E7" s="14" t="s">
        <v>99</v>
      </c>
      <c r="F7" s="14" t="s">
        <v>108</v>
      </c>
    </row>
    <row r="8" customFormat="false" ht="26.85" hidden="false" customHeight="false" outlineLevel="0" collapsed="false">
      <c r="A8" s="14" t="s">
        <v>109</v>
      </c>
      <c r="B8" s="14" t="s">
        <v>110</v>
      </c>
      <c r="C8" s="14" t="s">
        <v>111</v>
      </c>
      <c r="D8" s="14" t="s">
        <v>112</v>
      </c>
      <c r="E8" s="14" t="s">
        <v>99</v>
      </c>
      <c r="F8" s="14" t="s">
        <v>113</v>
      </c>
    </row>
    <row r="9" customFormat="false" ht="26.85" hidden="false" customHeight="false" outlineLevel="0" collapsed="false">
      <c r="A9" s="14" t="s">
        <v>114</v>
      </c>
      <c r="B9" s="14" t="s">
        <v>115</v>
      </c>
      <c r="C9" s="14" t="s">
        <v>116</v>
      </c>
      <c r="D9" s="14" t="s">
        <v>112</v>
      </c>
      <c r="E9" s="14" t="s">
        <v>99</v>
      </c>
      <c r="F9" s="14" t="s">
        <v>117</v>
      </c>
    </row>
    <row r="10" customFormat="false" ht="26.85" hidden="false" customHeight="false" outlineLevel="0" collapsed="false">
      <c r="A10" s="14" t="s">
        <v>118</v>
      </c>
      <c r="B10" s="14" t="s">
        <v>119</v>
      </c>
      <c r="C10" s="14" t="s">
        <v>120</v>
      </c>
      <c r="D10" s="14" t="s">
        <v>99</v>
      </c>
      <c r="E10" s="14" t="s">
        <v>112</v>
      </c>
      <c r="F10" s="14" t="s">
        <v>121</v>
      </c>
    </row>
    <row r="11" customFormat="false" ht="15" hidden="false" customHeight="false" outlineLevel="0" collapsed="false">
      <c r="A11" s="14" t="s">
        <v>122</v>
      </c>
      <c r="B11" s="14" t="s">
        <v>123</v>
      </c>
      <c r="C11" s="14" t="s">
        <v>124</v>
      </c>
      <c r="D11" s="14" t="s">
        <v>112</v>
      </c>
      <c r="E11" s="14" t="s">
        <v>125</v>
      </c>
      <c r="F11" s="14" t="s">
        <v>126</v>
      </c>
    </row>
    <row r="12" customFormat="false" ht="26.85" hidden="false" customHeight="false" outlineLevel="0" collapsed="false">
      <c r="A12" s="14" t="s">
        <v>127</v>
      </c>
      <c r="B12" s="14" t="s">
        <v>128</v>
      </c>
      <c r="C12" s="14" t="s">
        <v>129</v>
      </c>
      <c r="D12" s="14" t="s">
        <v>125</v>
      </c>
      <c r="E12" s="14" t="s">
        <v>99</v>
      </c>
      <c r="F12" s="14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8" min="2" style="0" width="15"/>
  </cols>
  <sheetData>
    <row r="1" customFormat="false" ht="17.35" hidden="false" customHeight="false" outlineLevel="0" collapsed="false">
      <c r="A1" s="1" t="s">
        <v>131</v>
      </c>
    </row>
    <row r="2" customFormat="false" ht="15" hidden="false" customHeight="false" outlineLevel="0" collapsed="false">
      <c r="A2" s="2" t="s">
        <v>1</v>
      </c>
    </row>
    <row r="4" customFormat="false" ht="39.55" hidden="false" customHeight="false" outlineLevel="0" collapsed="false">
      <c r="A4" s="6" t="s">
        <v>132</v>
      </c>
      <c r="B4" s="6" t="s">
        <v>4</v>
      </c>
      <c r="C4" s="6" t="s">
        <v>133</v>
      </c>
      <c r="D4" s="6" t="s">
        <v>60</v>
      </c>
      <c r="E4" s="6" t="s">
        <v>55</v>
      </c>
      <c r="F4" s="6" t="s">
        <v>64</v>
      </c>
      <c r="G4" s="6" t="s">
        <v>134</v>
      </c>
      <c r="H4" s="6" t="s">
        <v>135</v>
      </c>
      <c r="I4" s="6" t="s">
        <v>136</v>
      </c>
    </row>
    <row r="5" customFormat="false" ht="15" hidden="false" customHeight="false" outlineLevel="0" collapsed="false">
      <c r="A5" s="14" t="s">
        <v>137</v>
      </c>
      <c r="B5" s="15" t="s">
        <v>138</v>
      </c>
      <c r="C5" s="15" t="s">
        <v>139</v>
      </c>
      <c r="D5" s="15" t="s">
        <v>140</v>
      </c>
      <c r="E5" s="15" t="s">
        <v>140</v>
      </c>
      <c r="F5" s="15" t="s">
        <v>141</v>
      </c>
      <c r="G5" s="15" t="s">
        <v>141</v>
      </c>
      <c r="H5" s="15" t="s">
        <v>141</v>
      </c>
      <c r="I5" s="4" t="n">
        <f aca="false">COUNTIF(B5:H5,"A")</f>
        <v>1</v>
      </c>
    </row>
    <row r="6" customFormat="false" ht="15" hidden="false" customHeight="false" outlineLevel="0" collapsed="false">
      <c r="A6" s="14" t="s">
        <v>142</v>
      </c>
      <c r="B6" s="15" t="s">
        <v>141</v>
      </c>
      <c r="C6" s="15" t="s">
        <v>140</v>
      </c>
      <c r="D6" s="15" t="s">
        <v>138</v>
      </c>
      <c r="E6" s="15" t="s">
        <v>140</v>
      </c>
      <c r="F6" s="15" t="s">
        <v>140</v>
      </c>
      <c r="G6" s="15" t="s">
        <v>141</v>
      </c>
      <c r="H6" s="15" t="s">
        <v>141</v>
      </c>
      <c r="I6" s="4" t="n">
        <f aca="false">COUNTIF(B6:H6,"A")</f>
        <v>1</v>
      </c>
    </row>
    <row r="7" customFormat="false" ht="15" hidden="false" customHeight="false" outlineLevel="0" collapsed="false">
      <c r="A7" s="14" t="s">
        <v>143</v>
      </c>
      <c r="B7" s="15" t="s">
        <v>141</v>
      </c>
      <c r="C7" s="15" t="s">
        <v>140</v>
      </c>
      <c r="D7" s="15" t="s">
        <v>140</v>
      </c>
      <c r="E7" s="15" t="s">
        <v>138</v>
      </c>
      <c r="F7" s="15" t="s">
        <v>140</v>
      </c>
      <c r="G7" s="15" t="s">
        <v>141</v>
      </c>
      <c r="H7" s="15" t="s">
        <v>139</v>
      </c>
      <c r="I7" s="4" t="n">
        <f aca="false">COUNTIF(B7:H7,"A")</f>
        <v>1</v>
      </c>
    </row>
    <row r="8" customFormat="false" ht="15" hidden="false" customHeight="false" outlineLevel="0" collapsed="false">
      <c r="A8" s="14" t="s">
        <v>144</v>
      </c>
      <c r="B8" s="15" t="s">
        <v>141</v>
      </c>
      <c r="C8" s="15" t="s">
        <v>139</v>
      </c>
      <c r="D8" s="15" t="s">
        <v>140</v>
      </c>
      <c r="E8" s="15" t="s">
        <v>139</v>
      </c>
      <c r="F8" s="15" t="s">
        <v>140</v>
      </c>
      <c r="G8" s="15" t="s">
        <v>138</v>
      </c>
      <c r="H8" s="15" t="s">
        <v>139</v>
      </c>
      <c r="I8" s="4" t="n">
        <f aca="false">COUNTIF(B8:H8,"A")</f>
        <v>1</v>
      </c>
    </row>
    <row r="9" customFormat="false" ht="15" hidden="false" customHeight="false" outlineLevel="0" collapsed="false">
      <c r="A9" s="14" t="s">
        <v>145</v>
      </c>
      <c r="B9" s="15" t="s">
        <v>141</v>
      </c>
      <c r="C9" s="15" t="s">
        <v>140</v>
      </c>
      <c r="D9" s="15" t="s">
        <v>138</v>
      </c>
      <c r="E9" s="15" t="s">
        <v>141</v>
      </c>
      <c r="F9" s="15" t="s">
        <v>139</v>
      </c>
      <c r="G9" s="15" t="s">
        <v>141</v>
      </c>
      <c r="H9" s="15" t="s">
        <v>141</v>
      </c>
      <c r="I9" s="4" t="n">
        <f aca="false">COUNTIF(B9:H9,"A")</f>
        <v>1</v>
      </c>
    </row>
    <row r="10" customFormat="false" ht="26.85" hidden="false" customHeight="false" outlineLevel="0" collapsed="false">
      <c r="A10" s="14" t="s">
        <v>146</v>
      </c>
      <c r="B10" s="15" t="s">
        <v>141</v>
      </c>
      <c r="C10" s="15" t="s">
        <v>138</v>
      </c>
      <c r="D10" s="15" t="s">
        <v>140</v>
      </c>
      <c r="E10" s="15" t="s">
        <v>141</v>
      </c>
      <c r="F10" s="15" t="s">
        <v>139</v>
      </c>
      <c r="G10" s="15" t="s">
        <v>141</v>
      </c>
      <c r="H10" s="15" t="s">
        <v>140</v>
      </c>
      <c r="I10" s="4" t="n">
        <f aca="false">COUNTIF(B10:H10,"A")</f>
        <v>1</v>
      </c>
    </row>
    <row r="11" customFormat="false" ht="15" hidden="false" customHeight="false" outlineLevel="0" collapsed="false">
      <c r="A11" s="14" t="s">
        <v>147</v>
      </c>
      <c r="B11" s="15" t="s">
        <v>141</v>
      </c>
      <c r="C11" s="15" t="s">
        <v>139</v>
      </c>
      <c r="D11" s="15" t="s">
        <v>138</v>
      </c>
      <c r="E11" s="15" t="s">
        <v>139</v>
      </c>
      <c r="F11" s="15" t="s">
        <v>139</v>
      </c>
      <c r="G11" s="15" t="s">
        <v>140</v>
      </c>
      <c r="H11" s="15" t="s">
        <v>140</v>
      </c>
      <c r="I11" s="4" t="n">
        <f aca="false">COUNTIF(B11:H11,"A")</f>
        <v>1</v>
      </c>
    </row>
    <row r="12" customFormat="false" ht="15" hidden="false" customHeight="false" outlineLevel="0" collapsed="false">
      <c r="A12" s="14" t="s">
        <v>148</v>
      </c>
      <c r="B12" s="15" t="s">
        <v>138</v>
      </c>
      <c r="C12" s="15" t="s">
        <v>139</v>
      </c>
      <c r="D12" s="15" t="s">
        <v>140</v>
      </c>
      <c r="E12" s="15" t="s">
        <v>140</v>
      </c>
      <c r="F12" s="15" t="s">
        <v>140</v>
      </c>
      <c r="G12" s="15" t="s">
        <v>140</v>
      </c>
      <c r="H12" s="15" t="s">
        <v>141</v>
      </c>
      <c r="I12" s="4" t="n">
        <f aca="false">COUNTIF(B12:H12,"A")</f>
        <v>1</v>
      </c>
    </row>
    <row r="13" customFormat="false" ht="15" hidden="false" customHeight="false" outlineLevel="0" collapsed="false">
      <c r="A13" s="14" t="s">
        <v>74</v>
      </c>
      <c r="B13" s="15" t="s">
        <v>141</v>
      </c>
      <c r="C13" s="15" t="s">
        <v>138</v>
      </c>
      <c r="D13" s="15" t="s">
        <v>140</v>
      </c>
      <c r="E13" s="15" t="s">
        <v>139</v>
      </c>
      <c r="F13" s="15" t="s">
        <v>139</v>
      </c>
      <c r="G13" s="15" t="s">
        <v>141</v>
      </c>
      <c r="H13" s="15" t="s">
        <v>140</v>
      </c>
      <c r="I13" s="4" t="n">
        <f aca="false">COUNTIF(B13:H13,"A")</f>
        <v>1</v>
      </c>
    </row>
    <row r="15" customFormat="false" ht="15" hidden="false" customHeight="false" outlineLevel="0" collapsed="false">
      <c r="A15" s="16" t="s">
        <v>149</v>
      </c>
    </row>
  </sheetData>
  <conditionalFormatting sqref="B5:H13">
    <cfRule type="cellIs" priority="2" operator="equal" aboveAverage="0" equalAverage="0" bottom="0" percent="0" rank="0" text="" dxfId="6">
      <formula>"A"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3" min="3" style="0" width="46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6"/>
    <col collapsed="false" customWidth="true" hidden="false" outlineLevel="0" max="8" min="8" style="0" width="46"/>
    <col collapsed="false" customWidth="true" hidden="false" outlineLevel="0" max="9" min="9" style="0" width="16"/>
    <col collapsed="false" customWidth="true" hidden="false" outlineLevel="0" max="10" min="10" style="0" width="9"/>
  </cols>
  <sheetData>
    <row r="1" customFormat="false" ht="17.35" hidden="false" customHeight="false" outlineLevel="0" collapsed="false">
      <c r="A1" s="1" t="s">
        <v>150</v>
      </c>
    </row>
    <row r="2" customFormat="false" ht="15" hidden="false" customHeight="false" outlineLevel="0" collapsed="false">
      <c r="A2" s="2" t="s">
        <v>1</v>
      </c>
    </row>
    <row r="4" customFormat="false" ht="39.55" hidden="false" customHeight="false" outlineLevel="0" collapsed="false">
      <c r="A4" s="6" t="s">
        <v>151</v>
      </c>
      <c r="B4" s="6" t="s">
        <v>40</v>
      </c>
      <c r="C4" s="6" t="s">
        <v>152</v>
      </c>
      <c r="D4" s="6" t="s">
        <v>153</v>
      </c>
      <c r="E4" s="6" t="s">
        <v>154</v>
      </c>
      <c r="F4" s="6" t="s">
        <v>155</v>
      </c>
      <c r="G4" s="6" t="s">
        <v>43</v>
      </c>
      <c r="H4" s="6" t="s">
        <v>156</v>
      </c>
      <c r="I4" s="6" t="s">
        <v>157</v>
      </c>
      <c r="J4" s="6" t="s">
        <v>158</v>
      </c>
    </row>
    <row r="5" customFormat="false" ht="26.85" hidden="false" customHeight="false" outlineLevel="0" collapsed="false">
      <c r="A5" s="14" t="s">
        <v>159</v>
      </c>
      <c r="B5" s="14" t="s">
        <v>160</v>
      </c>
      <c r="C5" s="14" t="s">
        <v>161</v>
      </c>
      <c r="D5" s="17" t="n">
        <v>4</v>
      </c>
      <c r="E5" s="17" t="n">
        <v>4</v>
      </c>
      <c r="F5" s="18" t="n">
        <f aca="false">IF(AND(ISNUMBER(D5),ISNUMBER(E5)),D5*E5,"")</f>
        <v>16</v>
      </c>
      <c r="G5" s="14" t="s">
        <v>64</v>
      </c>
      <c r="H5" s="14" t="s">
        <v>162</v>
      </c>
      <c r="I5" s="14" t="s">
        <v>163</v>
      </c>
      <c r="J5" s="14" t="n">
        <v>12</v>
      </c>
    </row>
    <row r="6" customFormat="false" ht="26.85" hidden="false" customHeight="false" outlineLevel="0" collapsed="false">
      <c r="A6" s="14" t="s">
        <v>159</v>
      </c>
      <c r="B6" s="14" t="s">
        <v>164</v>
      </c>
      <c r="C6" s="14" t="s">
        <v>165</v>
      </c>
      <c r="D6" s="17" t="n">
        <v>3</v>
      </c>
      <c r="E6" s="17" t="n">
        <v>5</v>
      </c>
      <c r="F6" s="18" t="n">
        <f aca="false">IF(AND(ISNUMBER(D6),ISNUMBER(E6)),D6*E6,"")</f>
        <v>15</v>
      </c>
      <c r="G6" s="14" t="s">
        <v>134</v>
      </c>
      <c r="H6" s="14" t="s">
        <v>166</v>
      </c>
      <c r="I6" s="14" t="s">
        <v>167</v>
      </c>
      <c r="J6" s="14" t="n">
        <v>9</v>
      </c>
    </row>
    <row r="7" customFormat="false" ht="26.85" hidden="false" customHeight="false" outlineLevel="0" collapsed="false">
      <c r="A7" s="14" t="s">
        <v>159</v>
      </c>
      <c r="B7" s="14" t="s">
        <v>168</v>
      </c>
      <c r="C7" s="14" t="s">
        <v>169</v>
      </c>
      <c r="D7" s="17" t="n">
        <v>3</v>
      </c>
      <c r="E7" s="17" t="n">
        <v>4</v>
      </c>
      <c r="F7" s="18" t="n">
        <f aca="false">IF(AND(ISNUMBER(D7),ISNUMBER(E7)),D7*E7,"")</f>
        <v>12</v>
      </c>
      <c r="G7" s="14" t="s">
        <v>55</v>
      </c>
      <c r="H7" s="14" t="s">
        <v>170</v>
      </c>
      <c r="I7" s="14" t="s">
        <v>171</v>
      </c>
      <c r="J7" s="14" t="n">
        <v>6</v>
      </c>
    </row>
    <row r="8" customFormat="false" ht="15" hidden="false" customHeight="false" outlineLevel="0" collapsed="false">
      <c r="A8" s="14" t="s">
        <v>159</v>
      </c>
      <c r="B8" s="14" t="s">
        <v>172</v>
      </c>
      <c r="C8" s="14" t="s">
        <v>173</v>
      </c>
      <c r="D8" s="17" t="n">
        <v>3</v>
      </c>
      <c r="E8" s="17" t="n">
        <v>3</v>
      </c>
      <c r="F8" s="18" t="n">
        <f aca="false">IF(AND(ISNUMBER(D8),ISNUMBER(E8)),D8*E8,"")</f>
        <v>9</v>
      </c>
      <c r="G8" s="14" t="s">
        <v>60</v>
      </c>
      <c r="H8" s="14" t="s">
        <v>174</v>
      </c>
      <c r="I8" s="14" t="s">
        <v>163</v>
      </c>
      <c r="J8" s="14" t="n">
        <v>10</v>
      </c>
    </row>
    <row r="9" customFormat="false" ht="26.85" hidden="false" customHeight="false" outlineLevel="0" collapsed="false">
      <c r="A9" s="14" t="s">
        <v>175</v>
      </c>
      <c r="B9" s="14" t="s">
        <v>176</v>
      </c>
      <c r="C9" s="14" t="s">
        <v>177</v>
      </c>
      <c r="D9" s="14"/>
      <c r="E9" s="14"/>
      <c r="F9" s="18" t="str">
        <f aca="false">IF(AND(ISNUMBER(D9),ISNUMBER(E9)),D9*E9,"")</f>
        <v/>
      </c>
      <c r="G9" s="14" t="s">
        <v>55</v>
      </c>
      <c r="H9" s="14" t="s">
        <v>178</v>
      </c>
      <c r="I9" s="14" t="s">
        <v>179</v>
      </c>
      <c r="J9" s="14" t="n">
        <v>2</v>
      </c>
    </row>
    <row r="10" customFormat="false" ht="39.55" hidden="false" customHeight="false" outlineLevel="0" collapsed="false">
      <c r="A10" s="14" t="s">
        <v>180</v>
      </c>
      <c r="B10" s="14" t="s">
        <v>181</v>
      </c>
      <c r="C10" s="14" t="s">
        <v>182</v>
      </c>
      <c r="D10" s="17" t="n">
        <v>5</v>
      </c>
      <c r="E10" s="17" t="n">
        <v>5</v>
      </c>
      <c r="F10" s="18" t="n">
        <f aca="false">IF(AND(ISNUMBER(D10),ISNUMBER(E10)),D10*E10,"")</f>
        <v>25</v>
      </c>
      <c r="G10" s="14" t="s">
        <v>52</v>
      </c>
      <c r="H10" s="14" t="s">
        <v>183</v>
      </c>
      <c r="I10" s="14" t="s">
        <v>184</v>
      </c>
      <c r="J10" s="14" t="n">
        <v>9</v>
      </c>
    </row>
    <row r="11" customFormat="false" ht="26.85" hidden="false" customHeight="false" outlineLevel="0" collapsed="false">
      <c r="A11" s="14" t="s">
        <v>185</v>
      </c>
      <c r="B11" s="14" t="s">
        <v>186</v>
      </c>
      <c r="C11" s="14" t="s">
        <v>187</v>
      </c>
      <c r="D11" s="14"/>
      <c r="E11" s="14"/>
      <c r="F11" s="18" t="str">
        <f aca="false">IF(AND(ISNUMBER(D11),ISNUMBER(E11)),D11*E11,"")</f>
        <v/>
      </c>
      <c r="G11" s="14" t="s">
        <v>55</v>
      </c>
      <c r="H11" s="14" t="s">
        <v>188</v>
      </c>
      <c r="I11" s="14" t="s">
        <v>171</v>
      </c>
      <c r="J11" s="14" t="n">
        <v>6</v>
      </c>
    </row>
    <row r="12" customFormat="false" ht="26.85" hidden="false" customHeight="false" outlineLevel="0" collapsed="false">
      <c r="A12" s="14" t="s">
        <v>185</v>
      </c>
      <c r="B12" s="14" t="s">
        <v>189</v>
      </c>
      <c r="C12" s="14" t="s">
        <v>190</v>
      </c>
      <c r="D12" s="14"/>
      <c r="E12" s="14"/>
      <c r="F12" s="18" t="str">
        <f aca="false">IF(AND(ISNUMBER(D12),ISNUMBER(E12)),D12*E12,"")</f>
        <v/>
      </c>
      <c r="G12" s="14" t="s">
        <v>60</v>
      </c>
      <c r="H12" s="14" t="s">
        <v>191</v>
      </c>
      <c r="I12" s="14" t="s">
        <v>171</v>
      </c>
      <c r="J12" s="14" t="n">
        <v>12</v>
      </c>
    </row>
    <row r="14" customFormat="false" ht="15" hidden="false" customHeight="false" outlineLevel="0" collapsed="false">
      <c r="A14" s="3" t="s">
        <v>192</v>
      </c>
      <c r="C14" s="4" t="n">
        <f aca="false">COUNTIFS(A5:A12,"Risk",F5:F12,"&gt;=15",I5:I12,"Open")</f>
        <v>1</v>
      </c>
    </row>
  </sheetData>
  <conditionalFormatting sqref="F5:F12">
    <cfRule type="expression" priority="2" aboveAverage="0" equalAverage="0" bottom="0" percent="0" rank="0" text="" dxfId="11">
      <formula>AND(ISNUMBER(F5),F5&gt;=15)</formula>
    </cfRule>
    <cfRule type="expression" priority="3" aboveAverage="0" equalAverage="0" bottom="0" percent="0" rank="0" text="" dxfId="12">
      <formula>AND(ISNUMBER(F5),F5&gt;=8,F5&lt;15)</formula>
    </cfRule>
    <cfRule type="expression" priority="4" aboveAverage="0" equalAverage="0" bottom="0" percent="0" rank="0" text="" dxfId="13">
      <formula>AND(ISNUMBER(F5),F5&lt;8)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34"/>
    <col collapsed="false" customWidth="true" hidden="false" outlineLevel="0" max="4" min="4" style="0" width="22"/>
    <col collapsed="false" customWidth="true" hidden="false" outlineLevel="0" max="6" min="5" style="0" width="20"/>
  </cols>
  <sheetData>
    <row r="1" customFormat="false" ht="17.35" hidden="false" customHeight="false" outlineLevel="0" collapsed="false">
      <c r="A1" s="1" t="s">
        <v>193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6" t="s">
        <v>194</v>
      </c>
      <c r="B4" s="6" t="s">
        <v>195</v>
      </c>
      <c r="C4" s="6" t="s">
        <v>196</v>
      </c>
      <c r="D4" s="6" t="s">
        <v>197</v>
      </c>
      <c r="E4" s="6" t="s">
        <v>43</v>
      </c>
      <c r="F4" s="6" t="s">
        <v>198</v>
      </c>
    </row>
    <row r="5" customFormat="false" ht="26.85" hidden="false" customHeight="false" outlineLevel="0" collapsed="false">
      <c r="A5" s="14" t="s">
        <v>199</v>
      </c>
      <c r="B5" s="14" t="s">
        <v>200</v>
      </c>
      <c r="C5" s="14" t="s">
        <v>201</v>
      </c>
      <c r="D5" s="14" t="s">
        <v>202</v>
      </c>
      <c r="E5" s="14" t="s">
        <v>52</v>
      </c>
      <c r="F5" s="14" t="s">
        <v>4</v>
      </c>
    </row>
    <row r="6" customFormat="false" ht="26.85" hidden="false" customHeight="false" outlineLevel="0" collapsed="false">
      <c r="A6" s="14" t="s">
        <v>203</v>
      </c>
      <c r="B6" s="14" t="s">
        <v>204</v>
      </c>
      <c r="C6" s="14" t="s">
        <v>205</v>
      </c>
      <c r="D6" s="14" t="s">
        <v>206</v>
      </c>
      <c r="E6" s="14" t="s">
        <v>52</v>
      </c>
      <c r="F6" s="14" t="s">
        <v>60</v>
      </c>
    </row>
    <row r="7" customFormat="false" ht="15" hidden="false" customHeight="false" outlineLevel="0" collapsed="false">
      <c r="A7" s="14" t="s">
        <v>89</v>
      </c>
      <c r="B7" s="14" t="s">
        <v>207</v>
      </c>
      <c r="C7" s="14" t="s">
        <v>208</v>
      </c>
      <c r="D7" s="14" t="s">
        <v>209</v>
      </c>
      <c r="E7" s="14" t="s">
        <v>60</v>
      </c>
      <c r="F7" s="14" t="s">
        <v>52</v>
      </c>
    </row>
    <row r="8" customFormat="false" ht="26.85" hidden="false" customHeight="false" outlineLevel="0" collapsed="false">
      <c r="A8" s="14" t="s">
        <v>210</v>
      </c>
      <c r="B8" s="14" t="s">
        <v>211</v>
      </c>
      <c r="C8" s="14" t="s">
        <v>212</v>
      </c>
      <c r="D8" s="14" t="s">
        <v>213</v>
      </c>
      <c r="E8" s="14" t="s">
        <v>64</v>
      </c>
      <c r="F8" s="14" t="s">
        <v>52</v>
      </c>
    </row>
    <row r="9" customFormat="false" ht="26.85" hidden="false" customHeight="false" outlineLevel="0" collapsed="false">
      <c r="A9" s="14" t="s">
        <v>214</v>
      </c>
      <c r="B9" s="14" t="s">
        <v>215</v>
      </c>
      <c r="C9" s="14" t="s">
        <v>216</v>
      </c>
      <c r="D9" s="14" t="s">
        <v>217</v>
      </c>
      <c r="E9" s="14" t="s">
        <v>60</v>
      </c>
      <c r="F9" s="14" t="s">
        <v>4</v>
      </c>
    </row>
    <row r="10" customFormat="false" ht="26.85" hidden="false" customHeight="false" outlineLevel="0" collapsed="false">
      <c r="A10" s="14" t="s">
        <v>218</v>
      </c>
      <c r="B10" s="14" t="s">
        <v>219</v>
      </c>
      <c r="C10" s="14" t="s">
        <v>220</v>
      </c>
      <c r="D10" s="14" t="s">
        <v>221</v>
      </c>
      <c r="E10" s="14" t="s">
        <v>52</v>
      </c>
      <c r="F10" s="14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222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6" t="s">
        <v>223</v>
      </c>
      <c r="B4" s="6" t="s">
        <v>224</v>
      </c>
      <c r="C4" s="6" t="s">
        <v>225</v>
      </c>
    </row>
    <row r="5" customFormat="false" ht="15" hidden="false" customHeight="false" outlineLevel="0" collapsed="false">
      <c r="A5" s="14" t="s">
        <v>226</v>
      </c>
      <c r="B5" s="19" t="n">
        <v>62000</v>
      </c>
      <c r="C5" s="14" t="s">
        <v>227</v>
      </c>
    </row>
    <row r="6" customFormat="false" ht="15" hidden="false" customHeight="false" outlineLevel="0" collapsed="false">
      <c r="A6" s="14" t="s">
        <v>228</v>
      </c>
      <c r="B6" s="19" t="n">
        <v>24000</v>
      </c>
      <c r="C6" s="14" t="s">
        <v>229</v>
      </c>
    </row>
    <row r="7" customFormat="false" ht="15" hidden="false" customHeight="false" outlineLevel="0" collapsed="false">
      <c r="A7" s="14" t="s">
        <v>230</v>
      </c>
      <c r="B7" s="19" t="n">
        <v>28000</v>
      </c>
      <c r="C7" s="14"/>
    </row>
    <row r="8" customFormat="false" ht="15" hidden="false" customHeight="false" outlineLevel="0" collapsed="false">
      <c r="A8" s="14" t="s">
        <v>231</v>
      </c>
      <c r="B8" s="19" t="n">
        <v>22000</v>
      </c>
      <c r="C8" s="14" t="s">
        <v>232</v>
      </c>
    </row>
    <row r="9" customFormat="false" ht="15" hidden="false" customHeight="false" outlineLevel="0" collapsed="false">
      <c r="A9" s="14" t="s">
        <v>233</v>
      </c>
      <c r="B9" s="19" t="n">
        <v>27600</v>
      </c>
      <c r="C9" s="14"/>
    </row>
    <row r="10" customFormat="false" ht="15" hidden="false" customHeight="false" outlineLevel="0" collapsed="false">
      <c r="A10" s="14" t="s">
        <v>234</v>
      </c>
      <c r="B10" s="19" t="n">
        <v>16400</v>
      </c>
      <c r="C10" s="14"/>
    </row>
    <row r="11" customFormat="false" ht="15" hidden="false" customHeight="false" outlineLevel="0" collapsed="false">
      <c r="A11" s="3" t="s">
        <v>235</v>
      </c>
      <c r="B11" s="20" t="n">
        <f aca="false">SUM(B5:B10)</f>
        <v>180000</v>
      </c>
    </row>
    <row r="12" customFormat="false" ht="15" hidden="false" customHeight="false" outlineLevel="0" collapsed="false">
      <c r="A12" s="4" t="s">
        <v>236</v>
      </c>
      <c r="B12" s="21" t="n">
        <f aca="false">B10/B11</f>
        <v>0.0911111111111111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60"/>
    <col collapsed="false" customWidth="true" hidden="false" outlineLevel="0" max="4" min="4" style="0" width="18"/>
    <col collapsed="false" customWidth="true" hidden="false" outlineLevel="0" max="5" min="5" style="0" width="9"/>
    <col collapsed="false" customWidth="true" hidden="false" outlineLevel="0" max="6" min="6" style="0" width="52"/>
    <col collapsed="false" customWidth="true" hidden="false" outlineLevel="0" max="7" min="7" style="0" width="8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1" t="s">
        <v>237</v>
      </c>
    </row>
    <row r="2" customFormat="false" ht="15" hidden="false" customHeight="false" outlineLevel="0" collapsed="false">
      <c r="A2" s="2" t="s">
        <v>1</v>
      </c>
    </row>
    <row r="4" customFormat="false" ht="39.55" hidden="false" customHeight="false" outlineLevel="0" collapsed="false">
      <c r="A4" s="6" t="s">
        <v>40</v>
      </c>
      <c r="B4" s="6" t="s">
        <v>238</v>
      </c>
      <c r="C4" s="6" t="s">
        <v>239</v>
      </c>
      <c r="D4" s="6" t="s">
        <v>240</v>
      </c>
      <c r="E4" s="6" t="s">
        <v>241</v>
      </c>
      <c r="F4" s="6" t="s">
        <v>242</v>
      </c>
      <c r="G4" s="6" t="s">
        <v>21</v>
      </c>
      <c r="H4" s="6" t="s">
        <v>157</v>
      </c>
    </row>
    <row r="5" customFormat="false" ht="26.85" hidden="false" customHeight="false" outlineLevel="0" collapsed="false">
      <c r="A5" s="14" t="s">
        <v>243</v>
      </c>
      <c r="B5" s="14" t="s">
        <v>244</v>
      </c>
      <c r="C5" s="14" t="s">
        <v>245</v>
      </c>
      <c r="D5" s="14" t="s">
        <v>246</v>
      </c>
      <c r="E5" s="14" t="n">
        <v>5</v>
      </c>
      <c r="F5" s="14" t="s">
        <v>247</v>
      </c>
      <c r="G5" s="14" t="s">
        <v>49</v>
      </c>
      <c r="H5" s="14" t="s">
        <v>248</v>
      </c>
    </row>
    <row r="6" customFormat="false" ht="26.85" hidden="false" customHeight="false" outlineLevel="0" collapsed="false">
      <c r="A6" s="14" t="s">
        <v>249</v>
      </c>
      <c r="B6" s="14" t="s">
        <v>250</v>
      </c>
      <c r="C6" s="14" t="s">
        <v>251</v>
      </c>
      <c r="D6" s="14" t="s">
        <v>246</v>
      </c>
      <c r="E6" s="14" t="n">
        <v>5</v>
      </c>
      <c r="F6" s="14" t="s">
        <v>252</v>
      </c>
      <c r="G6" s="14" t="s">
        <v>49</v>
      </c>
      <c r="H6" s="14" t="s">
        <v>248</v>
      </c>
    </row>
    <row r="7" customFormat="false" ht="26.85" hidden="false" customHeight="false" outlineLevel="0" collapsed="false">
      <c r="A7" s="14" t="s">
        <v>253</v>
      </c>
      <c r="B7" s="14" t="s">
        <v>254</v>
      </c>
      <c r="C7" s="14" t="s">
        <v>255</v>
      </c>
      <c r="D7" s="14" t="s">
        <v>246</v>
      </c>
      <c r="E7" s="14" t="n">
        <v>8</v>
      </c>
      <c r="F7" s="14" t="s">
        <v>256</v>
      </c>
      <c r="G7" s="14" t="s">
        <v>53</v>
      </c>
      <c r="H7" s="14" t="s">
        <v>248</v>
      </c>
    </row>
    <row r="8" customFormat="false" ht="26.85" hidden="false" customHeight="false" outlineLevel="0" collapsed="false">
      <c r="A8" s="14" t="s">
        <v>257</v>
      </c>
      <c r="B8" s="14" t="s">
        <v>258</v>
      </c>
      <c r="C8" s="14" t="s">
        <v>259</v>
      </c>
      <c r="D8" s="14" t="s">
        <v>246</v>
      </c>
      <c r="E8" s="14" t="n">
        <v>5</v>
      </c>
      <c r="F8" s="14" t="s">
        <v>260</v>
      </c>
      <c r="G8" s="14" t="s">
        <v>53</v>
      </c>
      <c r="H8" s="14" t="s">
        <v>248</v>
      </c>
    </row>
    <row r="9" customFormat="false" ht="15" hidden="false" customHeight="false" outlineLevel="0" collapsed="false">
      <c r="A9" s="14" t="s">
        <v>261</v>
      </c>
      <c r="B9" s="14" t="s">
        <v>262</v>
      </c>
      <c r="C9" s="14" t="s">
        <v>263</v>
      </c>
      <c r="D9" s="14" t="s">
        <v>264</v>
      </c>
      <c r="E9" s="14" t="n">
        <v>3</v>
      </c>
      <c r="F9" s="14" t="s">
        <v>265</v>
      </c>
      <c r="G9" s="14" t="s">
        <v>56</v>
      </c>
      <c r="H9" s="14" t="s">
        <v>248</v>
      </c>
    </row>
    <row r="10" customFormat="false" ht="26.85" hidden="false" customHeight="false" outlineLevel="0" collapsed="false">
      <c r="A10" s="14" t="s">
        <v>266</v>
      </c>
      <c r="B10" s="14" t="s">
        <v>267</v>
      </c>
      <c r="C10" s="14" t="s">
        <v>268</v>
      </c>
      <c r="D10" s="14" t="s">
        <v>246</v>
      </c>
      <c r="E10" s="14" t="n">
        <v>3</v>
      </c>
      <c r="F10" s="14" t="s">
        <v>269</v>
      </c>
      <c r="G10" s="14" t="s">
        <v>56</v>
      </c>
      <c r="H10" s="14" t="s">
        <v>248</v>
      </c>
    </row>
    <row r="11" customFormat="false" ht="26.85" hidden="false" customHeight="false" outlineLevel="0" collapsed="false">
      <c r="A11" s="14" t="s">
        <v>270</v>
      </c>
      <c r="B11" s="14" t="s">
        <v>271</v>
      </c>
      <c r="C11" s="14" t="s">
        <v>272</v>
      </c>
      <c r="D11" s="14" t="s">
        <v>264</v>
      </c>
      <c r="E11" s="14" t="n">
        <v>5</v>
      </c>
      <c r="F11" s="14" t="s">
        <v>273</v>
      </c>
      <c r="G11" s="14" t="s">
        <v>58</v>
      </c>
      <c r="H11" s="14" t="s">
        <v>248</v>
      </c>
    </row>
    <row r="12" customFormat="false" ht="26.85" hidden="false" customHeight="false" outlineLevel="0" collapsed="false">
      <c r="A12" s="14" t="s">
        <v>274</v>
      </c>
      <c r="B12" s="14" t="s">
        <v>254</v>
      </c>
      <c r="C12" s="14" t="s">
        <v>275</v>
      </c>
      <c r="D12" s="14" t="s">
        <v>276</v>
      </c>
      <c r="E12" s="14" t="n">
        <v>5</v>
      </c>
      <c r="F12" s="14" t="s">
        <v>277</v>
      </c>
      <c r="G12" s="14" t="s">
        <v>58</v>
      </c>
      <c r="H12" s="14" t="s">
        <v>248</v>
      </c>
    </row>
    <row r="13" customFormat="false" ht="15" hidden="false" customHeight="false" outlineLevel="0" collapsed="false">
      <c r="A13" s="14" t="s">
        <v>278</v>
      </c>
      <c r="B13" s="14" t="s">
        <v>279</v>
      </c>
      <c r="C13" s="14" t="s">
        <v>280</v>
      </c>
      <c r="D13" s="14" t="s">
        <v>264</v>
      </c>
      <c r="E13" s="14" t="n">
        <v>5</v>
      </c>
      <c r="F13" s="14" t="s">
        <v>281</v>
      </c>
      <c r="G13" s="14" t="s">
        <v>58</v>
      </c>
      <c r="H13" s="14" t="s">
        <v>248</v>
      </c>
    </row>
    <row r="14" customFormat="false" ht="15" hidden="false" customHeight="false" outlineLevel="0" collapsed="false">
      <c r="A14" s="14" t="s">
        <v>282</v>
      </c>
      <c r="B14" s="14" t="s">
        <v>283</v>
      </c>
      <c r="C14" s="14" t="s">
        <v>284</v>
      </c>
      <c r="D14" s="14" t="s">
        <v>285</v>
      </c>
      <c r="E14" s="14" t="n">
        <v>2</v>
      </c>
      <c r="F14" s="14" t="s">
        <v>286</v>
      </c>
      <c r="G14" s="14" t="s">
        <v>61</v>
      </c>
      <c r="H14" s="14" t="s">
        <v>248</v>
      </c>
    </row>
    <row r="15" customFormat="false" ht="26.85" hidden="false" customHeight="false" outlineLevel="0" collapsed="false">
      <c r="A15" s="14" t="s">
        <v>287</v>
      </c>
      <c r="B15" s="14" t="s">
        <v>288</v>
      </c>
      <c r="C15" s="14" t="s">
        <v>289</v>
      </c>
      <c r="D15" s="14" t="s">
        <v>290</v>
      </c>
      <c r="E15" s="14" t="n">
        <v>13</v>
      </c>
      <c r="F15" s="14" t="s">
        <v>291</v>
      </c>
      <c r="G15" s="14" t="s">
        <v>292</v>
      </c>
      <c r="H15" s="14" t="s">
        <v>293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2026-10-13T19:38:29Z</dcterms:created>
  <dc:creator>openpyxl</dc:creator>
  <dc:description/>
  <dc:language>en-US</dc:language>
  <cp:lastModifiedBy/>
  <dcterms:modified xsi:type="dcterms:W3CDTF">2026-10-13T13:38:38Z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