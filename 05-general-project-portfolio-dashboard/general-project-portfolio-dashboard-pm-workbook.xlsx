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1.xml.rels" ContentType="application/vnd.openxmlformats-package.relationships+xml"/>
  <Override PartName="/xl/worksheets/_rels/sheet5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tables/table6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3.xml" ContentType="application/vnd.openxmlformats-officedocument.spreadsheetml.table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Dashboard" sheetId="2" state="visible" r:id="rId4"/>
    <sheet name="Gantt" sheetId="3" state="visible" r:id="rId5"/>
    <sheet name="Stakeholders" sheetId="4" state="visible" r:id="rId6"/>
    <sheet name="RACI" sheetId="5" state="visible" r:id="rId7"/>
    <sheet name="RAID Log" sheetId="6" state="visible" r:id="rId8"/>
    <sheet name="Comms Plan" sheetId="7" state="visible" r:id="rId9"/>
    <sheet name="Budget" sheetId="8" state="visible" r:id="rId10"/>
    <sheet name="Portfolio Data" sheetId="9" state="visible" r:id="rId11"/>
    <sheet name="RAG Rules" sheetId="10" state="visible" r:id="rId12"/>
    <sheet name="Benefits KPIs" sheetId="11" state="visible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<sst xmlns="http://schemas.openxmlformats.org/spreadsheetml/2006/main" count="457" uniqueCount="308">
  <si>
    <t xml:space="preserve">Project Portfolio Dashboard – PM Workbook</t>
  </si>
  <si>
    <t xml:space="preserve">Simulated project – organisation, people and figures are fictional (PM Project Lab practice brief).</t>
  </si>
  <si>
    <t xml:space="preserve">Organisation</t>
  </si>
  <si>
    <t xml:space="preserve">Meridian Advisory (fictional) – professional services firm with 6 practices and ~40 active client projects</t>
  </si>
  <si>
    <t xml:space="preserve">Sponsor</t>
  </si>
  <si>
    <t xml:space="preserve">Michael Adekunle, Managing Partner</t>
  </si>
  <si>
    <t xml:space="preserve">Project Manager</t>
  </si>
  <si>
    <t xml:space="preserve">Sola Debanjo, PMP</t>
  </si>
  <si>
    <t xml:space="preserve">Approach</t>
  </si>
  <si>
    <t xml:space="preserve">Hybrid (Waterfall for data &amp; governance, Agile sprints for dashboard build)</t>
  </si>
  <si>
    <t xml:space="preserve">Duration (weeks)</t>
  </si>
  <si>
    <t xml:space="preserve">Budget (assumed)</t>
  </si>
  <si>
    <t xml:space="preserve">CAD $150,000 (assumed; includes 10% contingency)</t>
  </si>
  <si>
    <t xml:space="preserve">How to use this workbook</t>
  </si>
  <si>
    <t xml:space="preserve">• Blue text on a yellow background = an input you can change (e.g., project start date, status week, actuals).</t>
  </si>
  <si>
    <t xml:space="preserve">• Black text = formulas. They recalculate automatically when inputs change.</t>
  </si>
  <si>
    <t xml:space="preserve">• Gantt: change the project start date or a task's start week/duration and the bars and dates move.</t>
  </si>
  <si>
    <t xml:space="preserve">• RAID: Score = Probability × Impact; colour turns red at 15+, amber at 8–14.</t>
  </si>
  <si>
    <t xml:space="preserve">• The schedule is also provided as a Microsoft Project XML file (opens in MS Project or the free ProjectLibre).</t>
  </si>
  <si>
    <t xml:space="preserve">Meridian Advisory – Portfolio overview</t>
  </si>
  <si>
    <t xml:space="preserve">Simulated data – built in Excel</t>
  </si>
  <si>
    <t xml:space="preserve">Active projects</t>
  </si>
  <si>
    <t xml:space="preserve">Red</t>
  </si>
  <si>
    <t xml:space="preserve">Amber</t>
  </si>
  <si>
    <t xml:space="preserve">Green</t>
  </si>
  <si>
    <t xml:space="preserve">Total budget</t>
  </si>
  <si>
    <t xml:space="preserve">Spent to date</t>
  </si>
  <si>
    <t xml:space="preserve">Project</t>
  </si>
  <si>
    <t xml:space="preserve">Schedule variance (days)</t>
  </si>
  <si>
    <t xml:space="preserve">Cost index</t>
  </si>
  <si>
    <t xml:space="preserve">Overall RAG</t>
  </si>
  <si>
    <t xml:space="preserve">Gantt Schedule</t>
  </si>
  <si>
    <t xml:space="preserve">Start date (Week 1):</t>
  </si>
  <si>
    <t xml:space="preserve">ID</t>
  </si>
  <si>
    <t xml:space="preserve">Phase</t>
  </si>
  <si>
    <t xml:space="preserve">Work package / milestone</t>
  </si>
  <si>
    <t xml:space="preserve">Owner</t>
  </si>
  <si>
    <t xml:space="preserve">Start wk</t>
  </si>
  <si>
    <t xml:space="preserve">Duration (wks)</t>
  </si>
  <si>
    <t xml:space="preserve">End wk</t>
  </si>
  <si>
    <t xml:space="preserve">Start date</t>
  </si>
  <si>
    <t xml:space="preserve">Finish date</t>
  </si>
  <si>
    <t xml:space="preserve">1</t>
  </si>
  <si>
    <t xml:space="preserve">Initiation</t>
  </si>
  <si>
    <t xml:space="preserve">Charter &amp; stakeholder interviews</t>
  </si>
  <si>
    <t xml:space="preserve">PM</t>
  </si>
  <si>
    <t xml:space="preserve">2</t>
  </si>
  <si>
    <t xml:space="preserve">Analysis &amp; Design</t>
  </si>
  <si>
    <t xml:space="preserve">Current-state review (6 practices)</t>
  </si>
  <si>
    <t xml:space="preserve">Head of PMO</t>
  </si>
  <si>
    <t xml:space="preserve">3</t>
  </si>
  <si>
    <t xml:space="preserve">Data dictionary, RAG rules, future process</t>
  </si>
  <si>
    <t xml:space="preserve">4</t>
  </si>
  <si>
    <t xml:space="preserve">Data</t>
  </si>
  <si>
    <t xml:space="preserve">Finance &amp; resourcing data feeds</t>
  </si>
  <si>
    <t xml:space="preserve">BI Lead</t>
  </si>
  <si>
    <t xml:space="preserve">5</t>
  </si>
  <si>
    <t xml:space="preserve">Build Sprints</t>
  </si>
  <si>
    <t xml:space="preserve">Sprint 1 – status template &amp; pilot practice</t>
  </si>
  <si>
    <t xml:space="preserve">Delivery Ops</t>
  </si>
  <si>
    <t xml:space="preserve">6</t>
  </si>
  <si>
    <t xml:space="preserve">Sprint 2 – data model &amp; portfolio overview page</t>
  </si>
  <si>
    <t xml:space="preserve">7</t>
  </si>
  <si>
    <t xml:space="preserve">Sprint 3 – financials &amp; risk pages</t>
  </si>
  <si>
    <t xml:space="preserve">8</t>
  </si>
  <si>
    <t xml:space="preserve">Sprint 4 – resourcing page, security, hardening</t>
  </si>
  <si>
    <t xml:space="preserve">9</t>
  </si>
  <si>
    <t xml:space="preserve">Rollout</t>
  </si>
  <si>
    <t xml:space="preserve">Training &amp; rollout to all practices</t>
  </si>
  <si>
    <t xml:space="preserve">10</t>
  </si>
  <si>
    <t xml:space="preserve">Go-live for annual planning</t>
  </si>
  <si>
    <t xml:space="preserve">11</t>
  </si>
  <si>
    <t xml:space="preserve">Closure</t>
  </si>
  <si>
    <t xml:space="preserve">Benefits check &amp; closure report</t>
  </si>
  <si>
    <t xml:space="preserve">12</t>
  </si>
  <si>
    <t xml:space="preserve">Milestone</t>
  </si>
  <si>
    <t xml:space="preserve">Charter approved</t>
  </si>
  <si>
    <t xml:space="preserve">13</t>
  </si>
  <si>
    <t xml:space="preserve">Current state &amp; requirements signed off</t>
  </si>
  <si>
    <t xml:space="preserve">14</t>
  </si>
  <si>
    <t xml:space="preserve">Data dictionary &amp; RAG rules approved</t>
  </si>
  <si>
    <t xml:space="preserve">15</t>
  </si>
  <si>
    <t xml:space="preserve">Status template live (pilot practice)</t>
  </si>
  <si>
    <t xml:space="preserve">16</t>
  </si>
  <si>
    <t xml:space="preserve">Dashboard v1 – sprint review</t>
  </si>
  <si>
    <t xml:space="preserve">17</t>
  </si>
  <si>
    <t xml:space="preserve">All practices reporting</t>
  </si>
  <si>
    <t xml:space="preserve">18</t>
  </si>
  <si>
    <t xml:space="preserve">Dashboard live for annual planning</t>
  </si>
  <si>
    <t xml:space="preserve">19</t>
  </si>
  <si>
    <t xml:space="preserve">Benefits check &amp; closure</t>
  </si>
  <si>
    <t xml:space="preserve">Stakeholders</t>
  </si>
  <si>
    <t xml:space="preserve">Stakeholder</t>
  </si>
  <si>
    <t xml:space="preserve">Role</t>
  </si>
  <si>
    <t xml:space="preserve">Primary concern</t>
  </si>
  <si>
    <t xml:space="preserve">Influence</t>
  </si>
  <si>
    <t xml:space="preserve">Interest</t>
  </si>
  <si>
    <t xml:space="preserve">Engagement approach</t>
  </si>
  <si>
    <t xml:space="preserve">Michael Adekunle</t>
  </si>
  <si>
    <t xml:space="preserve">Executive Sponsor (Managing Partner)</t>
  </si>
  <si>
    <t xml:space="preserve">Business outcome and timeline</t>
  </si>
  <si>
    <t xml:space="preserve">High</t>
  </si>
  <si>
    <t xml:space="preserve">Bi-weekly steering; dashboard previews</t>
  </si>
  <si>
    <t xml:space="preserve">Grace Nnamdi</t>
  </si>
  <si>
    <t xml:space="preserve">Product / Business Owner (Head of PMO)</t>
  </si>
  <si>
    <t xml:space="preserve">Scope and user value</t>
  </si>
  <si>
    <t xml:space="preserve">Weekly; owns RAG rules and template</t>
  </si>
  <si>
    <t xml:space="preserve">Femi Balogun</t>
  </si>
  <si>
    <t xml:space="preserve">Technology / Delivery Lead (BI Lead)</t>
  </si>
  <si>
    <t xml:space="preserve">Feasibility and team capacity</t>
  </si>
  <si>
    <t xml:space="preserve">Medium</t>
  </si>
  <si>
    <t xml:space="preserve">Sprint planning; owns data model</t>
  </si>
  <si>
    <t xml:space="preserve">Halima Garba</t>
  </si>
  <si>
    <t xml:space="preserve">Operations / Customer Lead (Delivery Operations Manager)</t>
  </si>
  <si>
    <t xml:space="preserve">Adoption and service continuity</t>
  </si>
  <si>
    <t xml:space="preserve">Weekly; owns rollout &amp; training</t>
  </si>
  <si>
    <t xml:space="preserve">Practice Leads (6)</t>
  </si>
  <si>
    <t xml:space="preserve">Senior partners</t>
  </si>
  <si>
    <t xml:space="preserve">Fair view of their practice; extra features</t>
  </si>
  <si>
    <t xml:space="preserve">Monthly demos; consulted on views</t>
  </si>
  <si>
    <t xml:space="preserve">Project Managers (35)</t>
  </si>
  <si>
    <t xml:space="preserve">Data providers / users</t>
  </si>
  <si>
    <t xml:space="preserve">Less admin, not more</t>
  </si>
  <si>
    <t xml:space="preserve">Low</t>
  </si>
  <si>
    <t xml:space="preserve">Champions, 30-min training, feedback form</t>
  </si>
  <si>
    <t xml:space="preserve">Head of Finance</t>
  </si>
  <si>
    <t xml:space="preserve">Data owner (budget/actuals)</t>
  </si>
  <si>
    <t xml:space="preserve">Accuracy, confidentiality</t>
  </si>
  <si>
    <t xml:space="preserve">Data-sharing agreement; reconciliation sign-off</t>
  </si>
  <si>
    <t xml:space="preserve">IT Security</t>
  </si>
  <si>
    <t xml:space="preserve">Access control</t>
  </si>
  <si>
    <t xml:space="preserve">Who sees what</t>
  </si>
  <si>
    <t xml:space="preserve">Row-level security review</t>
  </si>
  <si>
    <t xml:space="preserve">RACI</t>
  </si>
  <si>
    <t xml:space="preserve">Activity / deliverable</t>
  </si>
  <si>
    <t xml:space="preserve">PM (Sola)</t>
  </si>
  <si>
    <t xml:space="preserve">Finance</t>
  </si>
  <si>
    <t xml:space="preserve">Practice Leads</t>
  </si>
  <si>
    <t xml:space="preserve">A count (must be 1)</t>
  </si>
  <si>
    <t xml:space="preserve">Charter</t>
  </si>
  <si>
    <t xml:space="preserve">A</t>
  </si>
  <si>
    <t xml:space="preserve">R</t>
  </si>
  <si>
    <t xml:space="preserve">C</t>
  </si>
  <si>
    <t xml:space="preserve">I</t>
  </si>
  <si>
    <t xml:space="preserve">Current/future-state process</t>
  </si>
  <si>
    <t xml:space="preserve">RAG rules &amp; data dictionary</t>
  </si>
  <si>
    <t xml:space="preserve">Data model &amp; finance feed</t>
  </si>
  <si>
    <t xml:space="preserve">Dashboard build (sprints)</t>
  </si>
  <si>
    <t xml:space="preserve">Training &amp; adoption</t>
  </si>
  <si>
    <t xml:space="preserve">Change requests</t>
  </si>
  <si>
    <t xml:space="preserve">Benefits tracking</t>
  </si>
  <si>
    <t xml:space="preserve">R = Responsible · A = Accountable · C = Consulted · I = Informed. Check column: each row must have exactly one A.</t>
  </si>
  <si>
    <t xml:space="preserve">RAID Log</t>
  </si>
  <si>
    <t xml:space="preserve">Type</t>
  </si>
  <si>
    <t xml:space="preserve">Description</t>
  </si>
  <si>
    <t xml:space="preserve">Probability (1-5)</t>
  </si>
  <si>
    <t xml:space="preserve">Impact (1-5)</t>
  </si>
  <si>
    <t xml:space="preserve">Score</t>
  </si>
  <si>
    <t xml:space="preserve">Response / action</t>
  </si>
  <si>
    <t xml:space="preserve">Status</t>
  </si>
  <si>
    <t xml:space="preserve">Review week</t>
  </si>
  <si>
    <t xml:space="preserve">Risk</t>
  </si>
  <si>
    <t xml:space="preserve">R-01</t>
  </si>
  <si>
    <t xml:space="preserve">PMs see the template as extra admin and don't submit on time</t>
  </si>
  <si>
    <t xml:space="preserve">Template takes under 15 min; pre-filled finance data; champions; compliance shown on dashboard</t>
  </si>
  <si>
    <t xml:space="preserve">Open</t>
  </si>
  <si>
    <t xml:space="preserve">R-02</t>
  </si>
  <si>
    <t xml:space="preserve">Practice leads dispute their RAG ratings</t>
  </si>
  <si>
    <t xml:space="preserve">RAG rules agreed by all practice leads at Week 6; rule-based, not opinion</t>
  </si>
  <si>
    <t xml:space="preserve">Closed</t>
  </si>
  <si>
    <t xml:space="preserve">R-03</t>
  </si>
  <si>
    <t xml:space="preserve">Finance data doesn't reconcile with project budgets</t>
  </si>
  <si>
    <t xml:space="preserve">Reconciliation check each refresh; Finance sign-off</t>
  </si>
  <si>
    <t xml:space="preserve">R-04</t>
  </si>
  <si>
    <t xml:space="preserve">Late scope requests from senior partners threaten fixed date</t>
  </si>
  <si>
    <t xml:space="preserve">Change control; Phase 2 backlog</t>
  </si>
  <si>
    <t xml:space="preserve">Occurred → I-01</t>
  </si>
  <si>
    <t xml:space="preserve">Assumption</t>
  </si>
  <si>
    <t xml:space="preserve">A-01</t>
  </si>
  <si>
    <t xml:space="preserve">Power BI licences available for all leaders</t>
  </si>
  <si>
    <t xml:space="preserve">Validated; 12 Pro licences added</t>
  </si>
  <si>
    <t xml:space="preserve">Validated</t>
  </si>
  <si>
    <t xml:space="preserve">Issue</t>
  </si>
  <si>
    <t xml:space="preserve">I-01</t>
  </si>
  <si>
    <t xml:space="preserve">Practice lead requested consultant-level utilisation view at Week 12</t>
  </si>
  <si>
    <t xml:space="preserve">CR-02 assessed and deferred to Phase 2 (D-04)</t>
  </si>
  <si>
    <t xml:space="preserve">Resolved</t>
  </si>
  <si>
    <t xml:space="preserve">Dependency</t>
  </si>
  <si>
    <t xml:space="preserve">D-01</t>
  </si>
  <si>
    <t xml:space="preserve">Weekly finance export (budget vs actual)</t>
  </si>
  <si>
    <t xml:space="preserve">Live Week 9</t>
  </si>
  <si>
    <t xml:space="preserve">Open risks scored 15+:</t>
  </si>
  <si>
    <t xml:space="preserve">Comms Plan</t>
  </si>
  <si>
    <t xml:space="preserve">Audience</t>
  </si>
  <si>
    <t xml:space="preserve">Information</t>
  </si>
  <si>
    <t xml:space="preserve">Format / channel</t>
  </si>
  <si>
    <t xml:space="preserve">Frequency</t>
  </si>
  <si>
    <t xml:space="preserve">Escalation route</t>
  </si>
  <si>
    <t xml:space="preserve">Steering group</t>
  </si>
  <si>
    <t xml:space="preserve">Progress, decisions, risks</t>
  </si>
  <si>
    <t xml:space="preserve">Meeting + 1-page status</t>
  </si>
  <si>
    <t xml:space="preserve">Every 2 weeks</t>
  </si>
  <si>
    <t xml:space="preserve">Practice champions</t>
  </si>
  <si>
    <t xml:space="preserve">Working dashboard, feedback</t>
  </si>
  <si>
    <t xml:space="preserve">Sprint review demo</t>
  </si>
  <si>
    <t xml:space="preserve">Project managers</t>
  </si>
  <si>
    <t xml:space="preserve">New template, deadlines, how-to</t>
  </si>
  <si>
    <t xml:space="preserve">30-min training, Teams channel, quick guide</t>
  </si>
  <si>
    <t xml:space="preserve">Weekly during rollout</t>
  </si>
  <si>
    <t xml:space="preserve">Practice leads</t>
  </si>
  <si>
    <t xml:space="preserve">Practice view, RAG rules</t>
  </si>
  <si>
    <t xml:space="preserve">Monthly demo</t>
  </si>
  <si>
    <t xml:space="preserve">Monthly</t>
  </si>
  <si>
    <t xml:space="preserve">All staff</t>
  </si>
  <si>
    <t xml:space="preserve">Why we're changing</t>
  </si>
  <si>
    <t xml:space="preserve">Managing Partner note</t>
  </si>
  <si>
    <t xml:space="preserve">Once at launch</t>
  </si>
  <si>
    <t xml:space="preserve">—</t>
  </si>
  <si>
    <t xml:space="preserve">Budget</t>
  </si>
  <si>
    <t xml:space="preserve">Cost category</t>
  </si>
  <si>
    <t xml:space="preserve">Amount (CAD)</t>
  </si>
  <si>
    <t xml:space="preserve">Notes</t>
  </si>
  <si>
    <t xml:space="preserve">BI developer (contract, 14 weeks)</t>
  </si>
  <si>
    <t xml:space="preserve">Data engineering (finance &amp; resourcing feeds)</t>
  </si>
  <si>
    <t xml:space="preserve">Change management &amp; training</t>
  </si>
  <si>
    <t xml:space="preserve">Includes PM time</t>
  </si>
  <si>
    <t xml:space="preserve">Project management</t>
  </si>
  <si>
    <t xml:space="preserve">Contingency (10%)</t>
  </si>
  <si>
    <t xml:space="preserve">Total</t>
  </si>
  <si>
    <t xml:space="preserve">Contingency as % of total</t>
  </si>
  <si>
    <t xml:space="preserve">Portfolio data with rule-based RAG (formulas)</t>
  </si>
  <si>
    <t xml:space="preserve">Project ID</t>
  </si>
  <si>
    <t xml:space="preserve">Practice</t>
  </si>
  <si>
    <t xml:space="preserve">Client sector</t>
  </si>
  <si>
    <t xml:space="preserve">Budget (CAD)</t>
  </si>
  <si>
    <t xml:space="preserve">Actual to date (CAD)</t>
  </si>
  <si>
    <t xml:space="preserve">% complete</t>
  </si>
  <si>
    <t xml:space="preserve">Open high risks</t>
  </si>
  <si>
    <t xml:space="preserve">Staffing gap (FTE)</t>
  </si>
  <si>
    <t xml:space="preserve">Schedule RAG</t>
  </si>
  <si>
    <t xml:space="preserve">Cost RAG</t>
  </si>
  <si>
    <t xml:space="preserve">Risk RAG</t>
  </si>
  <si>
    <t xml:space="preserve">Staffing RAG</t>
  </si>
  <si>
    <t xml:space="preserve">MA-101</t>
  </si>
  <si>
    <t xml:space="preserve">Digital</t>
  </si>
  <si>
    <t xml:space="preserve">Healthcare</t>
  </si>
  <si>
    <t xml:space="preserve">MA-102</t>
  </si>
  <si>
    <t xml:space="preserve">Telecom</t>
  </si>
  <si>
    <t xml:space="preserve">MA-103</t>
  </si>
  <si>
    <t xml:space="preserve">Finance Advisory</t>
  </si>
  <si>
    <t xml:space="preserve">Public sector</t>
  </si>
  <si>
    <t xml:space="preserve">MA-104</t>
  </si>
  <si>
    <t xml:space="preserve">Operations</t>
  </si>
  <si>
    <t xml:space="preserve">Construction</t>
  </si>
  <si>
    <t xml:space="preserve">MA-105</t>
  </si>
  <si>
    <t xml:space="preserve">Manufacturing</t>
  </si>
  <si>
    <t xml:space="preserve">MA-106</t>
  </si>
  <si>
    <t xml:space="preserve">People &amp; Change</t>
  </si>
  <si>
    <t xml:space="preserve">MA-107</t>
  </si>
  <si>
    <t xml:space="preserve">Financial services</t>
  </si>
  <si>
    <t xml:space="preserve">MA-108</t>
  </si>
  <si>
    <t xml:space="preserve">Retail</t>
  </si>
  <si>
    <t xml:space="preserve">MA-109</t>
  </si>
  <si>
    <t xml:space="preserve">Data &amp; AI</t>
  </si>
  <si>
    <t xml:space="preserve">MA-110</t>
  </si>
  <si>
    <t xml:space="preserve">Energy</t>
  </si>
  <si>
    <t xml:space="preserve">MA-111</t>
  </si>
  <si>
    <t xml:space="preserve">MA-112</t>
  </si>
  <si>
    <t xml:space="preserve">RAG rules (agreed by all practice leads, Week 6)</t>
  </si>
  <si>
    <t xml:space="preserve">Dimension</t>
  </si>
  <si>
    <t xml:space="preserve">0 to −5</t>
  </si>
  <si>
    <t xml:space="preserve">−6 to −15</t>
  </si>
  <si>
    <t xml:space="preserve">worse than −15</t>
  </si>
  <si>
    <t xml:space="preserve">≥ 0.95</t>
  </si>
  <si>
    <t xml:space="preserve">0.85–0.94</t>
  </si>
  <si>
    <t xml:space="preserve">&lt; 0.85</t>
  </si>
  <si>
    <t xml:space="preserve">0–1</t>
  </si>
  <si>
    <t xml:space="preserve">3 or more</t>
  </si>
  <si>
    <t xml:space="preserve">0</t>
  </si>
  <si>
    <t xml:space="preserve">0.5</t>
  </si>
  <si>
    <t xml:space="preserve">1 or more</t>
  </si>
  <si>
    <t xml:space="preserve">Overall RAG = the worst of the four dimensions (calculated in 'Portfolio Data', column O).</t>
  </si>
  <si>
    <t xml:space="preserve">Benefits KPIs</t>
  </si>
  <si>
    <t xml:space="preserve">KPI</t>
  </si>
  <si>
    <t xml:space="preserve">Baseline (simulated)</t>
  </si>
  <si>
    <t xml:space="preserve">Target</t>
  </si>
  <si>
    <t xml:space="preserve">Week 16 (simulated)</t>
  </si>
  <si>
    <t xml:space="preserve">Measurement</t>
  </si>
  <si>
    <t xml:space="preserve">Projects reporting via standard template</t>
  </si>
  <si>
    <t xml:space="preserve">0%</t>
  </si>
  <si>
    <t xml:space="preserve">100%</t>
  </si>
  <si>
    <t xml:space="preserve">100% (40/40)</t>
  </si>
  <si>
    <t xml:space="preserve">Submissions ÷ active projects</t>
  </si>
  <si>
    <t xml:space="preserve">PM time to prepare weekly report</t>
  </si>
  <si>
    <t xml:space="preserve">~3 h</t>
  </si>
  <si>
    <t xml:space="preserve">≤ 1 h</t>
  </si>
  <si>
    <t xml:space="preserve">50 min (survey, n=31)</t>
  </si>
  <si>
    <t xml:space="preserve">PM pulse survey</t>
  </si>
  <si>
    <t xml:space="preserve">Required fields complete &amp; on time</t>
  </si>
  <si>
    <t xml:space="preserve">n/a</t>
  </si>
  <si>
    <t xml:space="preserve">≥ 95%</t>
  </si>
  <si>
    <t xml:space="preserve">96%</t>
  </si>
  <si>
    <t xml:space="preserve">Data-quality check each refresh</t>
  </si>
  <si>
    <t xml:space="preserve">Portfolio meeting uses dashboard as agenda</t>
  </si>
  <si>
    <t xml:space="preserve">No</t>
  </si>
  <si>
    <t xml:space="preserve">Yes</t>
  </si>
  <si>
    <t xml:space="preserve">Yes from Week 16</t>
  </si>
  <si>
    <t xml:space="preserve">Meeting minutes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</si>
</sst>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General"/>
    <numFmt numFmtId="166" formatCode="\$#,##0\K"/>
    <numFmt numFmtId="167" formatCode="0.00"/>
    <numFmt numFmtId="168" formatCode="dd\ mmm\ yyyy"/>
    <numFmt numFmtId="169" formatCode="dd\ mmm\ yy"/>
    <numFmt numFmtId="170" formatCode="\$#,##0"/>
    <numFmt numFmtId="171" formatCode="0.0%"/>
    <numFmt numFmtId="172" formatCode="0%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1"/>
      <color rgb="FF52514E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5"/>
      <name val="Arial"/>
      <family val="0"/>
      <charset val="1"/>
    </font>
    <font>
      <sz val="11"/>
      <color rgb="FF52514E"/>
      <name val="Arial"/>
      <family val="0"/>
      <charset val="1"/>
    </font>
    <font>
      <b val="true"/>
      <sz val="2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sz val="11"/>
      <color rgb="FF0000FF"/>
      <name val="Arial"/>
      <family val="0"/>
      <charset val="1"/>
    </font>
    <font>
      <i val="true"/>
      <sz val="11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4B6B6"/>
        <bgColor rgb="FFD9D9D9"/>
      </patternFill>
    </fill>
    <fill>
      <patternFill patternType="solid">
        <fgColor rgb="FFFFE29A"/>
        <bgColor rgb="FFFFF2CC"/>
      </patternFill>
    </fill>
    <fill>
      <patternFill patternType="solid">
        <fgColor rgb="FFB7E1B5"/>
        <bgColor rgb="FFD9D9D9"/>
      </patternFill>
    </fill>
    <fill>
      <patternFill patternType="solid">
        <fgColor rgb="FF1F3864"/>
        <bgColor rgb="FF333399"/>
      </patternFill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5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4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6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0" fontId="14" fillId="6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0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4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4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4">
    <dxf>
      <fill>
        <patternFill>
          <bgColor rgb="FFF4B6B6"/>
        </patternFill>
      </fill>
    </dxf>
    <dxf>
      <fill>
        <patternFill>
          <bgColor rgb="FFFFE29A"/>
        </patternFill>
      </fill>
    </dxf>
    <dxf>
      <fill>
        <patternFill>
          <bgColor rgb="FFB7E1B5"/>
        </patternFill>
      </fill>
    </dxf>
    <dxf>
      <font>
        <color rgb="FF2A78D6"/>
      </font>
      <fill>
        <patternFill>
          <bgColor rgb="FF2A78D6"/>
        </patternFill>
      </fill>
    </dxf>
    <dxf>
      <font>
        <name val="Arial"/>
        <charset val="1"/>
        <family val="0"/>
        <b val="1"/>
        <color rgb="FFC00000"/>
      </font>
    </dxf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9E2F3"/>
          <bgColor rgb="FF000000"/>
        </patternFill>
      </fill>
    </dxf>
    <dxf>
      <font>
        <name val="Arial"/>
        <charset val="1"/>
        <family val="0"/>
        <b val="1"/>
      </font>
      <fill>
        <patternFill>
          <bgColor rgb="FFD9E2F3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4B6B6"/>
          <bgColor rgb="FF000000"/>
        </patternFill>
      </fill>
    </dxf>
    <dxf>
      <fill>
        <patternFill patternType="solid">
          <fgColor rgb="FFFFE29A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E1B5"/>
      <rgbColor rgb="FF878787"/>
      <rgbColor rgb="FF9999FF"/>
      <rgbColor rgb="FF993366"/>
      <rgbColor rgb="FFFFF2CC"/>
      <rgbColor rgb="FFD9E2F3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4B6B6"/>
      <rgbColor rgb="FFCC99FF"/>
      <rgbColor rgb="FFFFE29A"/>
      <rgbColor rgb="FF2A78D6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52514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Schedule variance, next milestone (days)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Dashboard!B8</c:f>
              <c:strCache>
                <c:ptCount val="1"/>
                <c:pt idx="0">
                  <c:v>Schedule variance (days)</c:v>
                </c:pt>
              </c:strCache>
            </c:strRef>
          </c:tx>
          <c:spPr>
            <a:solidFill>
              <a:srgbClr val="2a78d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Dashboard!$A$9:$A$20</c:f>
              <c:strCache>
                <c:ptCount val="12"/>
                <c:pt idx="0">
                  <c:v>MA-101</c:v>
                </c:pt>
                <c:pt idx="1">
                  <c:v>MA-102</c:v>
                </c:pt>
                <c:pt idx="2">
                  <c:v>MA-103</c:v>
                </c:pt>
                <c:pt idx="3">
                  <c:v>MA-104</c:v>
                </c:pt>
                <c:pt idx="4">
                  <c:v>MA-105</c:v>
                </c:pt>
                <c:pt idx="5">
                  <c:v>MA-106</c:v>
                </c:pt>
                <c:pt idx="6">
                  <c:v>MA-107</c:v>
                </c:pt>
                <c:pt idx="7">
                  <c:v>MA-108</c:v>
                </c:pt>
                <c:pt idx="8">
                  <c:v>MA-109</c:v>
                </c:pt>
                <c:pt idx="9">
                  <c:v>MA-110</c:v>
                </c:pt>
                <c:pt idx="10">
                  <c:v>MA-111</c:v>
                </c:pt>
                <c:pt idx="11">
                  <c:v>MA-112</c:v>
                </c:pt>
              </c:strCache>
            </c:strRef>
          </c:cat>
          <c:val>
            <c:numRef>
              <c:f>Dashboard!$B$9:$B$20</c:f>
              <c:numCache>
                <c:formatCode>General</c:formatCode>
                <c:ptCount val="12"/>
                <c:pt idx="0">
                  <c:v>-3</c:v>
                </c:pt>
                <c:pt idx="1">
                  <c:v>-18</c:v>
                </c:pt>
                <c:pt idx="2">
                  <c:v>0</c:v>
                </c:pt>
                <c:pt idx="3">
                  <c:v>-9</c:v>
                </c:pt>
                <c:pt idx="4">
                  <c:v>2</c:v>
                </c:pt>
                <c:pt idx="5">
                  <c:v>-6</c:v>
                </c:pt>
                <c:pt idx="6">
                  <c:v>-2</c:v>
                </c:pt>
                <c:pt idx="7">
                  <c:v>-12</c:v>
                </c:pt>
                <c:pt idx="8">
                  <c:v>-4</c:v>
                </c:pt>
                <c:pt idx="9">
                  <c:v>1</c:v>
                </c:pt>
                <c:pt idx="10">
                  <c:v>-1</c:v>
                </c:pt>
                <c:pt idx="11">
                  <c:v>-8</c:v>
                </c:pt>
              </c:numCache>
            </c:numRef>
          </c:val>
        </c:ser>
        <c:gapWidth val="150"/>
        <c:overlap val="0"/>
        <c:axId val="62069997"/>
        <c:axId val="35274698"/>
      </c:barChart>
      <c:catAx>
        <c:axId val="6206999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5274698"/>
        <c:crosses val="autoZero"/>
        <c:auto val="1"/>
        <c:lblAlgn val="ctr"/>
        <c:lblOffset val="100"/>
        <c:noMultiLvlLbl val="0"/>
      </c:catAx>
      <c:valAx>
        <c:axId val="3527469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206999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Cost index (value earned per $1 spent; green ≥ 0.95)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Dashboard!C8</c:f>
              <c:strCache>
                <c:ptCount val="1"/>
                <c:pt idx="0">
                  <c:v>Cost index</c:v>
                </c:pt>
              </c:strCache>
            </c:strRef>
          </c:tx>
          <c:spPr>
            <a:solidFill>
              <a:srgbClr val="2a78d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Dashboard!$A$9:$A$20</c:f>
              <c:strCache>
                <c:ptCount val="12"/>
                <c:pt idx="0">
                  <c:v>MA-101</c:v>
                </c:pt>
                <c:pt idx="1">
                  <c:v>MA-102</c:v>
                </c:pt>
                <c:pt idx="2">
                  <c:v>MA-103</c:v>
                </c:pt>
                <c:pt idx="3">
                  <c:v>MA-104</c:v>
                </c:pt>
                <c:pt idx="4">
                  <c:v>MA-105</c:v>
                </c:pt>
                <c:pt idx="5">
                  <c:v>MA-106</c:v>
                </c:pt>
                <c:pt idx="6">
                  <c:v>MA-107</c:v>
                </c:pt>
                <c:pt idx="7">
                  <c:v>MA-108</c:v>
                </c:pt>
                <c:pt idx="8">
                  <c:v>MA-109</c:v>
                </c:pt>
                <c:pt idx="9">
                  <c:v>MA-110</c:v>
                </c:pt>
                <c:pt idx="10">
                  <c:v>MA-111</c:v>
                </c:pt>
                <c:pt idx="11">
                  <c:v>MA-112</c:v>
                </c:pt>
              </c:strCache>
            </c:strRef>
          </c:cat>
          <c:val>
            <c:numRef>
              <c:f>Dashboard!$C$9:$C$20</c:f>
              <c:numCache>
                <c:formatCode>0.00</c:formatCode>
                <c:ptCount val="12"/>
                <c:pt idx="0">
                  <c:v>1.03745019920319</c:v>
                </c:pt>
                <c:pt idx="1">
                  <c:v>0.777582417582418</c:v>
                </c:pt>
                <c:pt idx="2">
                  <c:v>0.978260869565217</c:v>
                </c:pt>
                <c:pt idx="3">
                  <c:v>0.904661016949153</c:v>
                </c:pt>
                <c:pt idx="4">
                  <c:v>1.04876033057851</c:v>
                </c:pt>
                <c:pt idx="5">
                  <c:v>0.896739130434783</c:v>
                </c:pt>
                <c:pt idx="6">
                  <c:v>0.988</c:v>
                </c:pt>
                <c:pt idx="7">
                  <c:v>0.747404844290658</c:v>
                </c:pt>
                <c:pt idx="8">
                  <c:v>1.03219512195122</c:v>
                </c:pt>
                <c:pt idx="9">
                  <c:v>1.05857142857143</c:v>
                </c:pt>
                <c:pt idx="10">
                  <c:v>1.036875</c:v>
                </c:pt>
                <c:pt idx="11">
                  <c:v>0.895714285714286</c:v>
                </c:pt>
              </c:numCache>
            </c:numRef>
          </c:val>
        </c:ser>
        <c:gapWidth val="150"/>
        <c:overlap val="0"/>
        <c:axId val="88023204"/>
        <c:axId val="61731119"/>
      </c:barChart>
      <c:catAx>
        <c:axId val="880232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1731119"/>
        <c:crosses val="autoZero"/>
        <c:auto val="1"/>
        <c:lblAlgn val="ctr"/>
        <c:lblOffset val="100"/>
        <c:noMultiLvlLbl val="0"/>
      </c:catAx>
      <c:valAx>
        <c:axId val="6173111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802320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6</xdr:row>
      <xdr:rowOff>25200</xdr:rowOff>
    </xdr:from>
    <xdr:to>
      <xdr:col>10</xdr:col>
      <xdr:colOff>896400</xdr:colOff>
      <xdr:row>20</xdr:row>
      <xdr:rowOff>106200</xdr:rowOff>
    </xdr:to>
    <xdr:graphicFrame>
      <xdr:nvGraphicFramePr>
        <xdr:cNvPr id="0" name="Chart 1"/>
        <xdr:cNvGraphicFramePr/>
      </xdr:nvGraphicFramePr>
      <xdr:xfrm>
        <a:off x="3876840" y="1333440"/>
        <a:ext cx="575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22</xdr:row>
      <xdr:rowOff>94680</xdr:rowOff>
    </xdr:from>
    <xdr:to>
      <xdr:col>10</xdr:col>
      <xdr:colOff>896400</xdr:colOff>
      <xdr:row>38</xdr:row>
      <xdr:rowOff>106200</xdr:rowOff>
    </xdr:to>
    <xdr:graphicFrame>
      <xdr:nvGraphicFramePr>
        <xdr:cNvPr id="1" name="Chart 2"/>
        <xdr:cNvGraphicFramePr/>
      </xdr:nvGraphicFramePr>
      <xdr:xfrm>
        <a:off x="3876840" y="4762440"/>
        <a:ext cx="575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BenefitsKPIsTbl" displayName="BenefitsKPIsTbl" ref="A4:F8" headerRowCount="1" totalsRowCount="0" totalsRowShown="0">
  <autoFilter ref="A4:F8"/>
  <tableColumns count="6">
    <tableColumn id="1" name="KPI"/>
    <tableColumn id="2" name="Baseline (simulated)"/>
    <tableColumn id="3" name="Target"/>
    <tableColumn id="4" name="Week 16 (simulated)"/>
    <tableColumn id="5" name="Measurement"/>
    <tableColumn id="6" name="Owner"/>
  </tableColumns>
</table>
</file>

<file path=xl/tables/table2.xml><?xml version="1.0" encoding="utf-8"?>
<table xmlns="http://schemas.openxmlformats.org/spreadsheetml/2006/main" id="2" name="BudgetTbl" displayName="BudgetTbl" ref="A4:C9" headerRowCount="1" totalsRowCount="0" totalsRowShown="0">
  <autoFilter ref="A4:C9"/>
  <tableColumns count="3">
    <tableColumn id="1" name="Cost category"/>
    <tableColumn id="2" name="Amount (CAD)"/>
    <tableColumn id="3" name="Notes"/>
  </tableColumns>
</table>
</file>

<file path=xl/tables/table3.xml><?xml version="1.0" encoding="utf-8"?>
<table xmlns="http://schemas.openxmlformats.org/spreadsheetml/2006/main" id="3" name="CommsPlanTbl" displayName="CommsPlanTbl" ref="A4:F9" headerRowCount="1" totalsRowCount="0" totalsRowShown="0">
  <autoFilter ref="A4:F9"/>
  <tableColumns count="6">
    <tableColumn id="1" name="Audience"/>
    <tableColumn id="2" name="Information"/>
    <tableColumn id="3" name="Format / channel"/>
    <tableColumn id="4" name="Frequency"/>
    <tableColumn id="5" name="Owner"/>
    <tableColumn id="6" name="Escalation route"/>
  </tableColumns>
</table>
</file>

<file path=xl/tables/table4.xml><?xml version="1.0" encoding="utf-8"?>
<table xmlns="http://schemas.openxmlformats.org/spreadsheetml/2006/main" id="4" name="RACITbl" displayName="RACITbl" ref="A4:H12" headerRowCount="1" totalsRowCount="0" totalsRowShown="0">
  <autoFilter ref="A4:H12"/>
  <tableColumns count="8">
    <tableColumn id="1" name="Activity / deliverable"/>
    <tableColumn id="2" name="Sponsor"/>
    <tableColumn id="3" name="PM (Sola)"/>
    <tableColumn id="4" name="Head of PMO"/>
    <tableColumn id="5" name="BI Lead"/>
    <tableColumn id="6" name="Delivery Ops"/>
    <tableColumn id="7" name="Finance"/>
    <tableColumn id="8" name="Practice Leads"/>
  </tableColumns>
</table>
</file>

<file path=xl/tables/table5.xml><?xml version="1.0" encoding="utf-8"?>
<table xmlns="http://schemas.openxmlformats.org/spreadsheetml/2006/main" id="5" name="RAIDLogTbl" displayName="RAIDLogTbl" ref="A4:J11" headerRowCount="1" totalsRowCount="0" totalsRowShown="0">
  <autoFilter ref="A4:J11"/>
  <tableColumns count="10">
    <tableColumn id="1" name="Type"/>
    <tableColumn id="2" name="ID"/>
    <tableColumn id="3" name="Description"/>
    <tableColumn id="4" name="Probability (1-5)"/>
    <tableColumn id="5" name="Impact (1-5)"/>
    <tableColumn id="6" name="Score"/>
    <tableColumn id="7" name="Owner"/>
    <tableColumn id="8" name="Response / action"/>
    <tableColumn id="9" name="Status"/>
    <tableColumn id="10" name="Review week"/>
  </tableColumns>
</table>
</file>

<file path=xl/tables/table6.xml><?xml version="1.0" encoding="utf-8"?>
<table xmlns="http://schemas.openxmlformats.org/spreadsheetml/2006/main" id="6" name="StakeholdersTbl" displayName="StakeholdersTbl" ref="A4:F12" headerRowCount="1" totalsRowCount="0" totalsRowShown="0">
  <autoFilter ref="A4:F12"/>
  <tableColumns count="6">
    <tableColumn id="1" name="Stakeholder"/>
    <tableColumn id="2" name="Role"/>
    <tableColumn id="3" name="Primary concern"/>
    <tableColumn id="4" name="Influence"/>
    <tableColumn id="5" name="Interest"/>
    <tableColumn id="6" name="Engagement approach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6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95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 t="s">
        <v>3</v>
      </c>
    </row>
    <row r="5" customFormat="false" ht="15" hidden="false" customHeight="false" outlineLevel="0" collapsed="false">
      <c r="A5" s="3" t="s">
        <v>4</v>
      </c>
      <c r="B5" s="4" t="s">
        <v>5</v>
      </c>
    </row>
    <row r="6" customFormat="false" ht="15" hidden="false" customHeight="false" outlineLevel="0" collapsed="false">
      <c r="A6" s="3" t="s">
        <v>6</v>
      </c>
      <c r="B6" s="4" t="s">
        <v>7</v>
      </c>
    </row>
    <row r="7" customFormat="false" ht="15" hidden="false" customHeight="false" outlineLevel="0" collapsed="false">
      <c r="A7" s="3" t="s">
        <v>8</v>
      </c>
      <c r="B7" s="4" t="s">
        <v>9</v>
      </c>
    </row>
    <row r="8" customFormat="false" ht="15" hidden="false" customHeight="false" outlineLevel="0" collapsed="false">
      <c r="A8" s="3" t="s">
        <v>10</v>
      </c>
      <c r="B8" s="4" t="n">
        <v>18</v>
      </c>
    </row>
    <row r="9" customFormat="false" ht="15" hidden="false" customHeight="false" outlineLevel="0" collapsed="false">
      <c r="A9" s="3" t="s">
        <v>11</v>
      </c>
      <c r="B9" s="4" t="s">
        <v>12</v>
      </c>
    </row>
    <row r="11" customFormat="false" ht="15" hidden="false" customHeight="false" outlineLevel="0" collapsed="false">
      <c r="A11" s="3" t="s">
        <v>13</v>
      </c>
    </row>
    <row r="12" customFormat="false" ht="15" hidden="false" customHeight="false" outlineLevel="0" collapsed="false">
      <c r="A12" s="4" t="s">
        <v>14</v>
      </c>
    </row>
    <row r="13" customFormat="false" ht="15" hidden="false" customHeight="false" outlineLevel="0" collapsed="false">
      <c r="A13" s="4" t="s">
        <v>15</v>
      </c>
    </row>
    <row r="14" customFormat="false" ht="15" hidden="false" customHeight="false" outlineLevel="0" collapsed="false">
      <c r="A14" s="4" t="s">
        <v>16</v>
      </c>
    </row>
    <row r="15" customFormat="false" ht="15" hidden="false" customHeight="false" outlineLevel="0" collapsed="false">
      <c r="A15" s="4" t="s">
        <v>17</v>
      </c>
    </row>
    <row r="16" customFormat="false" ht="15" hidden="false" customHeight="false" outlineLevel="0" collapsed="false">
      <c r="A16" s="4" t="s"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8" min="1" style="0" width="11"/>
    <col collapsed="false" customWidth="true" hidden="false" outlineLevel="0" max="12" min="9" style="0" width="18"/>
  </cols>
  <sheetData>
    <row r="1" customFormat="false" ht="18.55" hidden="false" customHeight="false" outlineLevel="0" collapsed="false">
      <c r="A1" s="5" t="s">
        <v>19</v>
      </c>
    </row>
    <row r="2" customFormat="false" ht="15" hidden="false" customHeight="false" outlineLevel="0" collapsed="false">
      <c r="A2" s="2" t="s">
        <v>20</v>
      </c>
    </row>
    <row r="4" customFormat="false" ht="15" hidden="false" customHeight="false" outlineLevel="0" collapsed="false">
      <c r="A4" s="6" t="s">
        <v>21</v>
      </c>
      <c r="C4" s="7" t="s">
        <v>22</v>
      </c>
      <c r="E4" s="8" t="s">
        <v>23</v>
      </c>
      <c r="G4" s="9" t="s">
        <v>24</v>
      </c>
      <c r="I4" s="6" t="s">
        <v>25</v>
      </c>
      <c r="K4" s="6" t="s">
        <v>26</v>
      </c>
    </row>
    <row r="5" customFormat="false" ht="24.45" hidden="false" customHeight="false" outlineLevel="0" collapsed="false">
      <c r="A5" s="10" t="n">
        <f aca="false">COUNTA('Portfolio Data'!A5:A16)</f>
        <v>12</v>
      </c>
      <c r="C5" s="11" t="n">
        <f aca="false">COUNTIF('Portfolio Data'!O5:O16,"Red")</f>
        <v>2</v>
      </c>
      <c r="E5" s="12" t="n">
        <f aca="false">COUNTIF('Portfolio Data'!O5:O16,"Amber")</f>
        <v>4</v>
      </c>
      <c r="G5" s="13" t="n">
        <f aca="false">COUNTIF('Portfolio Data'!O5:O16,"Green")</f>
        <v>6</v>
      </c>
      <c r="I5" s="14" t="n">
        <f aca="false">SUM('Portfolio Data'!D5:D16)/1000</f>
        <v>4040</v>
      </c>
      <c r="K5" s="14" t="n">
        <f aca="false">SUM('Portfolio Data'!E5:E16)/1000</f>
        <v>2311</v>
      </c>
    </row>
    <row r="8" customFormat="false" ht="39.55" hidden="false" customHeight="false" outlineLevel="0" collapsed="false">
      <c r="A8" s="15" t="s">
        <v>27</v>
      </c>
      <c r="B8" s="15" t="s">
        <v>28</v>
      </c>
      <c r="C8" s="15" t="s">
        <v>29</v>
      </c>
      <c r="D8" s="15" t="s">
        <v>30</v>
      </c>
    </row>
    <row r="9" customFormat="false" ht="15" hidden="false" customHeight="false" outlineLevel="0" collapsed="false">
      <c r="A9" s="0" t="str">
        <f aca="false">'Portfolio Data'!A5</f>
        <v>MA-101</v>
      </c>
      <c r="B9" s="0" t="n">
        <f aca="false">'Portfolio Data'!G5</f>
        <v>-3</v>
      </c>
      <c r="C9" s="16" t="n">
        <f aca="false">'Portfolio Data'!J5</f>
        <v>1.03745019920319</v>
      </c>
      <c r="D9" s="0" t="str">
        <f aca="false">'Portfolio Data'!O5</f>
        <v>Green</v>
      </c>
    </row>
    <row r="10" customFormat="false" ht="15" hidden="false" customHeight="false" outlineLevel="0" collapsed="false">
      <c r="A10" s="0" t="str">
        <f aca="false">'Portfolio Data'!A6</f>
        <v>MA-102</v>
      </c>
      <c r="B10" s="0" t="n">
        <f aca="false">'Portfolio Data'!G6</f>
        <v>-18</v>
      </c>
      <c r="C10" s="16" t="n">
        <f aca="false">'Portfolio Data'!J6</f>
        <v>0.777582417582418</v>
      </c>
      <c r="D10" s="0" t="str">
        <f aca="false">'Portfolio Data'!O6</f>
        <v>Red</v>
      </c>
    </row>
    <row r="11" customFormat="false" ht="15" hidden="false" customHeight="false" outlineLevel="0" collapsed="false">
      <c r="A11" s="0" t="str">
        <f aca="false">'Portfolio Data'!A7</f>
        <v>MA-103</v>
      </c>
      <c r="B11" s="0" t="n">
        <f aca="false">'Portfolio Data'!G7</f>
        <v>0</v>
      </c>
      <c r="C11" s="16" t="n">
        <f aca="false">'Portfolio Data'!J7</f>
        <v>0.978260869565217</v>
      </c>
      <c r="D11" s="0" t="str">
        <f aca="false">'Portfolio Data'!O7</f>
        <v>Green</v>
      </c>
    </row>
    <row r="12" customFormat="false" ht="15" hidden="false" customHeight="false" outlineLevel="0" collapsed="false">
      <c r="A12" s="0" t="str">
        <f aca="false">'Portfolio Data'!A8</f>
        <v>MA-104</v>
      </c>
      <c r="B12" s="0" t="n">
        <f aca="false">'Portfolio Data'!G8</f>
        <v>-9</v>
      </c>
      <c r="C12" s="16" t="n">
        <f aca="false">'Portfolio Data'!J8</f>
        <v>0.904661016949153</v>
      </c>
      <c r="D12" s="0" t="str">
        <f aca="false">'Portfolio Data'!O8</f>
        <v>Amber</v>
      </c>
    </row>
    <row r="13" customFormat="false" ht="15" hidden="false" customHeight="false" outlineLevel="0" collapsed="false">
      <c r="A13" s="0" t="str">
        <f aca="false">'Portfolio Data'!A9</f>
        <v>MA-105</v>
      </c>
      <c r="B13" s="0" t="n">
        <f aca="false">'Portfolio Data'!G9</f>
        <v>2</v>
      </c>
      <c r="C13" s="16" t="n">
        <f aca="false">'Portfolio Data'!J9</f>
        <v>1.04876033057851</v>
      </c>
      <c r="D13" s="0" t="str">
        <f aca="false">'Portfolio Data'!O9</f>
        <v>Green</v>
      </c>
    </row>
    <row r="14" customFormat="false" ht="15" hidden="false" customHeight="false" outlineLevel="0" collapsed="false">
      <c r="A14" s="0" t="str">
        <f aca="false">'Portfolio Data'!A10</f>
        <v>MA-106</v>
      </c>
      <c r="B14" s="0" t="n">
        <f aca="false">'Portfolio Data'!G10</f>
        <v>-6</v>
      </c>
      <c r="C14" s="16" t="n">
        <f aca="false">'Portfolio Data'!J10</f>
        <v>0.896739130434783</v>
      </c>
      <c r="D14" s="0" t="str">
        <f aca="false">'Portfolio Data'!O10</f>
        <v>Amber</v>
      </c>
    </row>
    <row r="15" customFormat="false" ht="15" hidden="false" customHeight="false" outlineLevel="0" collapsed="false">
      <c r="A15" s="0" t="str">
        <f aca="false">'Portfolio Data'!A11</f>
        <v>MA-107</v>
      </c>
      <c r="B15" s="0" t="n">
        <f aca="false">'Portfolio Data'!G11</f>
        <v>-2</v>
      </c>
      <c r="C15" s="16" t="n">
        <f aca="false">'Portfolio Data'!J11</f>
        <v>0.988</v>
      </c>
      <c r="D15" s="0" t="str">
        <f aca="false">'Portfolio Data'!O11</f>
        <v>Green</v>
      </c>
    </row>
    <row r="16" customFormat="false" ht="15" hidden="false" customHeight="false" outlineLevel="0" collapsed="false">
      <c r="A16" s="0" t="str">
        <f aca="false">'Portfolio Data'!A12</f>
        <v>MA-108</v>
      </c>
      <c r="B16" s="0" t="n">
        <f aca="false">'Portfolio Data'!G12</f>
        <v>-12</v>
      </c>
      <c r="C16" s="16" t="n">
        <f aca="false">'Portfolio Data'!J12</f>
        <v>0.747404844290658</v>
      </c>
      <c r="D16" s="0" t="str">
        <f aca="false">'Portfolio Data'!O12</f>
        <v>Red</v>
      </c>
    </row>
    <row r="17" customFormat="false" ht="15" hidden="false" customHeight="false" outlineLevel="0" collapsed="false">
      <c r="A17" s="0" t="str">
        <f aca="false">'Portfolio Data'!A13</f>
        <v>MA-109</v>
      </c>
      <c r="B17" s="0" t="n">
        <f aca="false">'Portfolio Data'!G13</f>
        <v>-4</v>
      </c>
      <c r="C17" s="16" t="n">
        <f aca="false">'Portfolio Data'!J13</f>
        <v>1.03219512195122</v>
      </c>
      <c r="D17" s="0" t="str">
        <f aca="false">'Portfolio Data'!O13</f>
        <v>Amber</v>
      </c>
    </row>
    <row r="18" customFormat="false" ht="15" hidden="false" customHeight="false" outlineLevel="0" collapsed="false">
      <c r="A18" s="0" t="str">
        <f aca="false">'Portfolio Data'!A14</f>
        <v>MA-110</v>
      </c>
      <c r="B18" s="0" t="n">
        <f aca="false">'Portfolio Data'!G14</f>
        <v>1</v>
      </c>
      <c r="C18" s="16" t="n">
        <f aca="false">'Portfolio Data'!J14</f>
        <v>1.05857142857143</v>
      </c>
      <c r="D18" s="0" t="str">
        <f aca="false">'Portfolio Data'!O14</f>
        <v>Green</v>
      </c>
    </row>
    <row r="19" customFormat="false" ht="15" hidden="false" customHeight="false" outlineLevel="0" collapsed="false">
      <c r="A19" s="0" t="str">
        <f aca="false">'Portfolio Data'!A15</f>
        <v>MA-111</v>
      </c>
      <c r="B19" s="0" t="n">
        <f aca="false">'Portfolio Data'!G15</f>
        <v>-1</v>
      </c>
      <c r="C19" s="16" t="n">
        <f aca="false">'Portfolio Data'!J15</f>
        <v>1.036875</v>
      </c>
      <c r="D19" s="0" t="str">
        <f aca="false">'Portfolio Data'!O15</f>
        <v>Green</v>
      </c>
    </row>
    <row r="20" customFormat="false" ht="15" hidden="false" customHeight="false" outlineLevel="0" collapsed="false">
      <c r="A20" s="0" t="str">
        <f aca="false">'Portfolio Data'!A16</f>
        <v>MA-112</v>
      </c>
      <c r="B20" s="0" t="n">
        <f aca="false">'Portfolio Data'!G16</f>
        <v>-8</v>
      </c>
      <c r="C20" s="16" t="n">
        <f aca="false">'Portfolio Data'!J16</f>
        <v>0.895714285714286</v>
      </c>
      <c r="D20" s="0" t="str">
        <f aca="false">'Portfolio Data'!O16</f>
        <v>Amber</v>
      </c>
    </row>
  </sheetData>
  <conditionalFormatting sqref="D9:D20">
    <cfRule type="cellIs" priority="2" operator="equal" aboveAverage="0" equalAverage="0" bottom="0" percent="0" rank="0" text="" dxfId="0">
      <formula>"Red"</formula>
    </cfRule>
    <cfRule type="cellIs" priority="3" operator="equal" aboveAverage="0" equalAverage="0" bottom="0" percent="0" rank="0" text="" dxfId="1">
      <formula>"Amber"</formula>
    </cfRule>
    <cfRule type="cellIs" priority="4" operator="equal" aboveAverage="0" equalAverage="0" bottom="0" percent="0" rank="0" text="" dxfId="2">
      <formula>"Green"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2"/>
    <col collapsed="false" customWidth="true" hidden="false" outlineLevel="0" max="3" min="3" style="0" width="44"/>
    <col collapsed="false" customWidth="true" hidden="false" outlineLevel="0" max="4" min="4" style="0" width="18"/>
    <col collapsed="false" customWidth="true" hidden="false" outlineLevel="0" max="5" min="5" style="0" width="8"/>
    <col collapsed="false" customWidth="true" hidden="false" outlineLevel="0" max="6" min="6" style="0" width="9"/>
    <col collapsed="false" customWidth="true" hidden="false" outlineLevel="0" max="7" min="7" style="0" width="8"/>
    <col collapsed="false" customWidth="true" hidden="false" outlineLevel="0" max="9" min="8" style="0" width="11"/>
    <col collapsed="false" customWidth="true" hidden="false" outlineLevel="0" max="28" min="10" style="0" width="3.2"/>
  </cols>
  <sheetData>
    <row r="1" customFormat="false" ht="17.35" hidden="false" customHeight="false" outlineLevel="0" collapsed="false">
      <c r="A1" s="1" t="s">
        <v>31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B3" s="3" t="s">
        <v>32</v>
      </c>
      <c r="C3" s="17" t="n">
        <v>46027</v>
      </c>
    </row>
    <row r="5" customFormat="false" ht="26.85" hidden="false" customHeight="false" outlineLevel="0" collapsed="false">
      <c r="A5" s="15" t="s">
        <v>33</v>
      </c>
      <c r="B5" s="15" t="s">
        <v>34</v>
      </c>
      <c r="C5" s="15" t="s">
        <v>35</v>
      </c>
      <c r="D5" s="15" t="s">
        <v>36</v>
      </c>
      <c r="E5" s="15" t="s">
        <v>37</v>
      </c>
      <c r="F5" s="15" t="s">
        <v>38</v>
      </c>
      <c r="G5" s="15" t="s">
        <v>39</v>
      </c>
      <c r="H5" s="15" t="s">
        <v>40</v>
      </c>
      <c r="I5" s="15" t="s">
        <v>41</v>
      </c>
      <c r="J5" s="15" t="n">
        <v>1</v>
      </c>
      <c r="K5" s="15" t="n">
        <v>2</v>
      </c>
      <c r="L5" s="15" t="n">
        <v>3</v>
      </c>
      <c r="M5" s="15" t="n">
        <v>4</v>
      </c>
      <c r="N5" s="15" t="n">
        <v>5</v>
      </c>
      <c r="O5" s="15" t="n">
        <v>6</v>
      </c>
      <c r="P5" s="15" t="n">
        <v>7</v>
      </c>
      <c r="Q5" s="15" t="n">
        <v>8</v>
      </c>
      <c r="R5" s="15" t="n">
        <v>9</v>
      </c>
      <c r="S5" s="15" t="n">
        <v>10</v>
      </c>
      <c r="T5" s="15" t="n">
        <v>11</v>
      </c>
      <c r="U5" s="15" t="n">
        <v>12</v>
      </c>
      <c r="V5" s="15" t="n">
        <v>13</v>
      </c>
      <c r="W5" s="15" t="n">
        <v>14</v>
      </c>
      <c r="X5" s="15" t="n">
        <v>15</v>
      </c>
      <c r="Y5" s="15" t="n">
        <v>16</v>
      </c>
      <c r="Z5" s="15" t="n">
        <v>17</v>
      </c>
      <c r="AA5" s="15" t="n">
        <v>18</v>
      </c>
      <c r="AB5" s="15" t="n">
        <v>19</v>
      </c>
    </row>
    <row r="6" customFormat="false" ht="15" hidden="false" customHeight="false" outlineLevel="0" collapsed="false">
      <c r="A6" s="4" t="s">
        <v>42</v>
      </c>
      <c r="B6" s="4" t="s">
        <v>43</v>
      </c>
      <c r="C6" s="4" t="s">
        <v>44</v>
      </c>
      <c r="D6" s="4" t="s">
        <v>45</v>
      </c>
      <c r="E6" s="18" t="n">
        <v>1</v>
      </c>
      <c r="F6" s="18" t="n">
        <v>2</v>
      </c>
      <c r="G6" s="4" t="n">
        <f aca="false">E6+F6-1</f>
        <v>2</v>
      </c>
      <c r="H6" s="19" t="n">
        <f aca="false">$C$3+(E6-1)*7</f>
        <v>46027</v>
      </c>
      <c r="I6" s="19" t="n">
        <f aca="false">$C$3+G6*7-3</f>
        <v>46038</v>
      </c>
      <c r="J6" s="20" t="n">
        <f aca="false">IF(AND(J$5&gt;=$E6,J$5&lt;=$G6),1,"")</f>
        <v>1</v>
      </c>
      <c r="K6" s="20" t="n">
        <f aca="false">IF(AND(K$5&gt;=$E6,K$5&lt;=$G6),1,"")</f>
        <v>1</v>
      </c>
      <c r="L6" s="20" t="str">
        <f aca="false">IF(AND(L$5&gt;=$E6,L$5&lt;=$G6),1,"")</f>
        <v/>
      </c>
      <c r="M6" s="20" t="str">
        <f aca="false">IF(AND(M$5&gt;=$E6,M$5&lt;=$G6),1,"")</f>
        <v/>
      </c>
      <c r="N6" s="20" t="str">
        <f aca="false">IF(AND(N$5&gt;=$E6,N$5&lt;=$G6),1,"")</f>
        <v/>
      </c>
      <c r="O6" s="20" t="str">
        <f aca="false">IF(AND(O$5&gt;=$E6,O$5&lt;=$G6),1,"")</f>
        <v/>
      </c>
      <c r="P6" s="20" t="str">
        <f aca="false">IF(AND(P$5&gt;=$E6,P$5&lt;=$G6),1,"")</f>
        <v/>
      </c>
      <c r="Q6" s="20" t="str">
        <f aca="false">IF(AND(Q$5&gt;=$E6,Q$5&lt;=$G6),1,"")</f>
        <v/>
      </c>
      <c r="R6" s="20" t="str">
        <f aca="false">IF(AND(R$5&gt;=$E6,R$5&lt;=$G6),1,"")</f>
        <v/>
      </c>
      <c r="S6" s="20" t="str">
        <f aca="false">IF(AND(S$5&gt;=$E6,S$5&lt;=$G6),1,"")</f>
        <v/>
      </c>
      <c r="T6" s="20" t="str">
        <f aca="false">IF(AND(T$5&gt;=$E6,T$5&lt;=$G6),1,"")</f>
        <v/>
      </c>
      <c r="U6" s="20" t="str">
        <f aca="false">IF(AND(U$5&gt;=$E6,U$5&lt;=$G6),1,"")</f>
        <v/>
      </c>
      <c r="V6" s="20" t="str">
        <f aca="false">IF(AND(V$5&gt;=$E6,V$5&lt;=$G6),1,"")</f>
        <v/>
      </c>
      <c r="W6" s="20" t="str">
        <f aca="false">IF(AND(W$5&gt;=$E6,W$5&lt;=$G6),1,"")</f>
        <v/>
      </c>
      <c r="X6" s="20" t="str">
        <f aca="false">IF(AND(X$5&gt;=$E6,X$5&lt;=$G6),1,"")</f>
        <v/>
      </c>
      <c r="Y6" s="20" t="str">
        <f aca="false">IF(AND(Y$5&gt;=$E6,Y$5&lt;=$G6),1,"")</f>
        <v/>
      </c>
      <c r="Z6" s="20" t="str">
        <f aca="false">IF(AND(Z$5&gt;=$E6,Z$5&lt;=$G6),1,"")</f>
        <v/>
      </c>
      <c r="AA6" s="20" t="str">
        <f aca="false">IF(AND(AA$5&gt;=$E6,AA$5&lt;=$G6),1,"")</f>
        <v/>
      </c>
      <c r="AB6" s="20" t="str">
        <f aca="false">IF(AND(AB$5&gt;=$E6,AB$5&lt;=$G6),1,"")</f>
        <v/>
      </c>
    </row>
    <row r="7" customFormat="false" ht="15" hidden="false" customHeight="false" outlineLevel="0" collapsed="false">
      <c r="A7" s="4" t="s">
        <v>46</v>
      </c>
      <c r="B7" s="4" t="s">
        <v>47</v>
      </c>
      <c r="C7" s="4" t="s">
        <v>48</v>
      </c>
      <c r="D7" s="4" t="s">
        <v>49</v>
      </c>
      <c r="E7" s="18" t="n">
        <v>2</v>
      </c>
      <c r="F7" s="18" t="n">
        <v>3</v>
      </c>
      <c r="G7" s="4" t="n">
        <f aca="false">E7+F7-1</f>
        <v>4</v>
      </c>
      <c r="H7" s="19" t="n">
        <f aca="false">$C$3+(E7-1)*7</f>
        <v>46034</v>
      </c>
      <c r="I7" s="19" t="n">
        <f aca="false">$C$3+G7*7-3</f>
        <v>46052</v>
      </c>
      <c r="J7" s="20" t="str">
        <f aca="false">IF(AND(J$5&gt;=$E7,J$5&lt;=$G7),1,"")</f>
        <v/>
      </c>
      <c r="K7" s="20" t="n">
        <f aca="false">IF(AND(K$5&gt;=$E7,K$5&lt;=$G7),1,"")</f>
        <v>1</v>
      </c>
      <c r="L7" s="20" t="n">
        <f aca="false">IF(AND(L$5&gt;=$E7,L$5&lt;=$G7),1,"")</f>
        <v>1</v>
      </c>
      <c r="M7" s="20" t="n">
        <f aca="false">IF(AND(M$5&gt;=$E7,M$5&lt;=$G7),1,"")</f>
        <v>1</v>
      </c>
      <c r="N7" s="20" t="str">
        <f aca="false">IF(AND(N$5&gt;=$E7,N$5&lt;=$G7),1,"")</f>
        <v/>
      </c>
      <c r="O7" s="20" t="str">
        <f aca="false">IF(AND(O$5&gt;=$E7,O$5&lt;=$G7),1,"")</f>
        <v/>
      </c>
      <c r="P7" s="20" t="str">
        <f aca="false">IF(AND(P$5&gt;=$E7,P$5&lt;=$G7),1,"")</f>
        <v/>
      </c>
      <c r="Q7" s="20" t="str">
        <f aca="false">IF(AND(Q$5&gt;=$E7,Q$5&lt;=$G7),1,"")</f>
        <v/>
      </c>
      <c r="R7" s="20" t="str">
        <f aca="false">IF(AND(R$5&gt;=$E7,R$5&lt;=$G7),1,"")</f>
        <v/>
      </c>
      <c r="S7" s="20" t="str">
        <f aca="false">IF(AND(S$5&gt;=$E7,S$5&lt;=$G7),1,"")</f>
        <v/>
      </c>
      <c r="T7" s="20" t="str">
        <f aca="false">IF(AND(T$5&gt;=$E7,T$5&lt;=$G7),1,"")</f>
        <v/>
      </c>
      <c r="U7" s="20" t="str">
        <f aca="false">IF(AND(U$5&gt;=$E7,U$5&lt;=$G7),1,"")</f>
        <v/>
      </c>
      <c r="V7" s="20" t="str">
        <f aca="false">IF(AND(V$5&gt;=$E7,V$5&lt;=$G7),1,"")</f>
        <v/>
      </c>
      <c r="W7" s="20" t="str">
        <f aca="false">IF(AND(W$5&gt;=$E7,W$5&lt;=$G7),1,"")</f>
        <v/>
      </c>
      <c r="X7" s="20" t="str">
        <f aca="false">IF(AND(X$5&gt;=$E7,X$5&lt;=$G7),1,"")</f>
        <v/>
      </c>
      <c r="Y7" s="20" t="str">
        <f aca="false">IF(AND(Y$5&gt;=$E7,Y$5&lt;=$G7),1,"")</f>
        <v/>
      </c>
      <c r="Z7" s="20" t="str">
        <f aca="false">IF(AND(Z$5&gt;=$E7,Z$5&lt;=$G7),1,"")</f>
        <v/>
      </c>
      <c r="AA7" s="20" t="str">
        <f aca="false">IF(AND(AA$5&gt;=$E7,AA$5&lt;=$G7),1,"")</f>
        <v/>
      </c>
      <c r="AB7" s="20" t="str">
        <f aca="false">IF(AND(AB$5&gt;=$E7,AB$5&lt;=$G7),1,"")</f>
        <v/>
      </c>
    </row>
    <row r="8" customFormat="false" ht="15" hidden="false" customHeight="false" outlineLevel="0" collapsed="false">
      <c r="A8" s="4" t="s">
        <v>50</v>
      </c>
      <c r="B8" s="4" t="s">
        <v>47</v>
      </c>
      <c r="C8" s="4" t="s">
        <v>51</v>
      </c>
      <c r="D8" s="4" t="s">
        <v>49</v>
      </c>
      <c r="E8" s="18" t="n">
        <v>4</v>
      </c>
      <c r="F8" s="18" t="n">
        <v>3</v>
      </c>
      <c r="G8" s="4" t="n">
        <f aca="false">E8+F8-1</f>
        <v>6</v>
      </c>
      <c r="H8" s="19" t="n">
        <f aca="false">$C$3+(E8-1)*7</f>
        <v>46048</v>
      </c>
      <c r="I8" s="19" t="n">
        <f aca="false">$C$3+G8*7-3</f>
        <v>46066</v>
      </c>
      <c r="J8" s="20" t="str">
        <f aca="false">IF(AND(J$5&gt;=$E8,J$5&lt;=$G8),1,"")</f>
        <v/>
      </c>
      <c r="K8" s="20" t="str">
        <f aca="false">IF(AND(K$5&gt;=$E8,K$5&lt;=$G8),1,"")</f>
        <v/>
      </c>
      <c r="L8" s="20" t="str">
        <f aca="false">IF(AND(L$5&gt;=$E8,L$5&lt;=$G8),1,"")</f>
        <v/>
      </c>
      <c r="M8" s="20" t="n">
        <f aca="false">IF(AND(M$5&gt;=$E8,M$5&lt;=$G8),1,"")</f>
        <v>1</v>
      </c>
      <c r="N8" s="20" t="n">
        <f aca="false">IF(AND(N$5&gt;=$E8,N$5&lt;=$G8),1,"")</f>
        <v>1</v>
      </c>
      <c r="O8" s="20" t="n">
        <f aca="false">IF(AND(O$5&gt;=$E8,O$5&lt;=$G8),1,"")</f>
        <v>1</v>
      </c>
      <c r="P8" s="20" t="str">
        <f aca="false">IF(AND(P$5&gt;=$E8,P$5&lt;=$G8),1,"")</f>
        <v/>
      </c>
      <c r="Q8" s="20" t="str">
        <f aca="false">IF(AND(Q$5&gt;=$E8,Q$5&lt;=$G8),1,"")</f>
        <v/>
      </c>
      <c r="R8" s="20" t="str">
        <f aca="false">IF(AND(R$5&gt;=$E8,R$5&lt;=$G8),1,"")</f>
        <v/>
      </c>
      <c r="S8" s="20" t="str">
        <f aca="false">IF(AND(S$5&gt;=$E8,S$5&lt;=$G8),1,"")</f>
        <v/>
      </c>
      <c r="T8" s="20" t="str">
        <f aca="false">IF(AND(T$5&gt;=$E8,T$5&lt;=$G8),1,"")</f>
        <v/>
      </c>
      <c r="U8" s="20" t="str">
        <f aca="false">IF(AND(U$5&gt;=$E8,U$5&lt;=$G8),1,"")</f>
        <v/>
      </c>
      <c r="V8" s="20" t="str">
        <f aca="false">IF(AND(V$5&gt;=$E8,V$5&lt;=$G8),1,"")</f>
        <v/>
      </c>
      <c r="W8" s="20" t="str">
        <f aca="false">IF(AND(W$5&gt;=$E8,W$5&lt;=$G8),1,"")</f>
        <v/>
      </c>
      <c r="X8" s="20" t="str">
        <f aca="false">IF(AND(X$5&gt;=$E8,X$5&lt;=$G8),1,"")</f>
        <v/>
      </c>
      <c r="Y8" s="20" t="str">
        <f aca="false">IF(AND(Y$5&gt;=$E8,Y$5&lt;=$G8),1,"")</f>
        <v/>
      </c>
      <c r="Z8" s="20" t="str">
        <f aca="false">IF(AND(Z$5&gt;=$E8,Z$5&lt;=$G8),1,"")</f>
        <v/>
      </c>
      <c r="AA8" s="20" t="str">
        <f aca="false">IF(AND(AA$5&gt;=$E8,AA$5&lt;=$G8),1,"")</f>
        <v/>
      </c>
      <c r="AB8" s="20" t="str">
        <f aca="false">IF(AND(AB$5&gt;=$E8,AB$5&lt;=$G8),1,"")</f>
        <v/>
      </c>
    </row>
    <row r="9" customFormat="false" ht="15" hidden="false" customHeight="false" outlineLevel="0" collapsed="false">
      <c r="A9" s="4" t="s">
        <v>52</v>
      </c>
      <c r="B9" s="4" t="s">
        <v>53</v>
      </c>
      <c r="C9" s="4" t="s">
        <v>54</v>
      </c>
      <c r="D9" s="4" t="s">
        <v>55</v>
      </c>
      <c r="E9" s="18" t="n">
        <v>6</v>
      </c>
      <c r="F9" s="18" t="n">
        <v>4</v>
      </c>
      <c r="G9" s="4" t="n">
        <f aca="false">E9+F9-1</f>
        <v>9</v>
      </c>
      <c r="H9" s="19" t="n">
        <f aca="false">$C$3+(E9-1)*7</f>
        <v>46062</v>
      </c>
      <c r="I9" s="19" t="n">
        <f aca="false">$C$3+G9*7-3</f>
        <v>46087</v>
      </c>
      <c r="J9" s="20" t="str">
        <f aca="false">IF(AND(J$5&gt;=$E9,J$5&lt;=$G9),1,"")</f>
        <v/>
      </c>
      <c r="K9" s="20" t="str">
        <f aca="false">IF(AND(K$5&gt;=$E9,K$5&lt;=$G9),1,"")</f>
        <v/>
      </c>
      <c r="L9" s="20" t="str">
        <f aca="false">IF(AND(L$5&gt;=$E9,L$5&lt;=$G9),1,"")</f>
        <v/>
      </c>
      <c r="M9" s="20" t="str">
        <f aca="false">IF(AND(M$5&gt;=$E9,M$5&lt;=$G9),1,"")</f>
        <v/>
      </c>
      <c r="N9" s="20" t="str">
        <f aca="false">IF(AND(N$5&gt;=$E9,N$5&lt;=$G9),1,"")</f>
        <v/>
      </c>
      <c r="O9" s="20" t="n">
        <f aca="false">IF(AND(O$5&gt;=$E9,O$5&lt;=$G9),1,"")</f>
        <v>1</v>
      </c>
      <c r="P9" s="20" t="n">
        <f aca="false">IF(AND(P$5&gt;=$E9,P$5&lt;=$G9),1,"")</f>
        <v>1</v>
      </c>
      <c r="Q9" s="20" t="n">
        <f aca="false">IF(AND(Q$5&gt;=$E9,Q$5&lt;=$G9),1,"")</f>
        <v>1</v>
      </c>
      <c r="R9" s="20" t="n">
        <f aca="false">IF(AND(R$5&gt;=$E9,R$5&lt;=$G9),1,"")</f>
        <v>1</v>
      </c>
      <c r="S9" s="20" t="str">
        <f aca="false">IF(AND(S$5&gt;=$E9,S$5&lt;=$G9),1,"")</f>
        <v/>
      </c>
      <c r="T9" s="20" t="str">
        <f aca="false">IF(AND(T$5&gt;=$E9,T$5&lt;=$G9),1,"")</f>
        <v/>
      </c>
      <c r="U9" s="20" t="str">
        <f aca="false">IF(AND(U$5&gt;=$E9,U$5&lt;=$G9),1,"")</f>
        <v/>
      </c>
      <c r="V9" s="20" t="str">
        <f aca="false">IF(AND(V$5&gt;=$E9,V$5&lt;=$G9),1,"")</f>
        <v/>
      </c>
      <c r="W9" s="20" t="str">
        <f aca="false">IF(AND(W$5&gt;=$E9,W$5&lt;=$G9),1,"")</f>
        <v/>
      </c>
      <c r="X9" s="20" t="str">
        <f aca="false">IF(AND(X$5&gt;=$E9,X$5&lt;=$G9),1,"")</f>
        <v/>
      </c>
      <c r="Y9" s="20" t="str">
        <f aca="false">IF(AND(Y$5&gt;=$E9,Y$5&lt;=$G9),1,"")</f>
        <v/>
      </c>
      <c r="Z9" s="20" t="str">
        <f aca="false">IF(AND(Z$5&gt;=$E9,Z$5&lt;=$G9),1,"")</f>
        <v/>
      </c>
      <c r="AA9" s="20" t="str">
        <f aca="false">IF(AND(AA$5&gt;=$E9,AA$5&lt;=$G9),1,"")</f>
        <v/>
      </c>
      <c r="AB9" s="20" t="str">
        <f aca="false">IF(AND(AB$5&gt;=$E9,AB$5&lt;=$G9),1,"")</f>
        <v/>
      </c>
    </row>
    <row r="10" customFormat="false" ht="15" hidden="false" customHeight="false" outlineLevel="0" collapsed="false">
      <c r="A10" s="4" t="s">
        <v>56</v>
      </c>
      <c r="B10" s="4" t="s">
        <v>57</v>
      </c>
      <c r="C10" s="4" t="s">
        <v>58</v>
      </c>
      <c r="D10" s="4" t="s">
        <v>59</v>
      </c>
      <c r="E10" s="18" t="n">
        <v>7</v>
      </c>
      <c r="F10" s="18" t="n">
        <v>2</v>
      </c>
      <c r="G10" s="4" t="n">
        <f aca="false">E10+F10-1</f>
        <v>8</v>
      </c>
      <c r="H10" s="19" t="n">
        <f aca="false">$C$3+(E10-1)*7</f>
        <v>46069</v>
      </c>
      <c r="I10" s="19" t="n">
        <f aca="false">$C$3+G10*7-3</f>
        <v>46080</v>
      </c>
      <c r="J10" s="20" t="str">
        <f aca="false">IF(AND(J$5&gt;=$E10,J$5&lt;=$G10),1,"")</f>
        <v/>
      </c>
      <c r="K10" s="20" t="str">
        <f aca="false">IF(AND(K$5&gt;=$E10,K$5&lt;=$G10),1,"")</f>
        <v/>
      </c>
      <c r="L10" s="20" t="str">
        <f aca="false">IF(AND(L$5&gt;=$E10,L$5&lt;=$G10),1,"")</f>
        <v/>
      </c>
      <c r="M10" s="20" t="str">
        <f aca="false">IF(AND(M$5&gt;=$E10,M$5&lt;=$G10),1,"")</f>
        <v/>
      </c>
      <c r="N10" s="20" t="str">
        <f aca="false">IF(AND(N$5&gt;=$E10,N$5&lt;=$G10),1,"")</f>
        <v/>
      </c>
      <c r="O10" s="20" t="str">
        <f aca="false">IF(AND(O$5&gt;=$E10,O$5&lt;=$G10),1,"")</f>
        <v/>
      </c>
      <c r="P10" s="20" t="n">
        <f aca="false">IF(AND(P$5&gt;=$E10,P$5&lt;=$G10),1,"")</f>
        <v>1</v>
      </c>
      <c r="Q10" s="20" t="n">
        <f aca="false">IF(AND(Q$5&gt;=$E10,Q$5&lt;=$G10),1,"")</f>
        <v>1</v>
      </c>
      <c r="R10" s="20" t="str">
        <f aca="false">IF(AND(R$5&gt;=$E10,R$5&lt;=$G10),1,"")</f>
        <v/>
      </c>
      <c r="S10" s="20" t="str">
        <f aca="false">IF(AND(S$5&gt;=$E10,S$5&lt;=$G10),1,"")</f>
        <v/>
      </c>
      <c r="T10" s="20" t="str">
        <f aca="false">IF(AND(T$5&gt;=$E10,T$5&lt;=$G10),1,"")</f>
        <v/>
      </c>
      <c r="U10" s="20" t="str">
        <f aca="false">IF(AND(U$5&gt;=$E10,U$5&lt;=$G10),1,"")</f>
        <v/>
      </c>
      <c r="V10" s="20" t="str">
        <f aca="false">IF(AND(V$5&gt;=$E10,V$5&lt;=$G10),1,"")</f>
        <v/>
      </c>
      <c r="W10" s="20" t="str">
        <f aca="false">IF(AND(W$5&gt;=$E10,W$5&lt;=$G10),1,"")</f>
        <v/>
      </c>
      <c r="X10" s="20" t="str">
        <f aca="false">IF(AND(X$5&gt;=$E10,X$5&lt;=$G10),1,"")</f>
        <v/>
      </c>
      <c r="Y10" s="20" t="str">
        <f aca="false">IF(AND(Y$5&gt;=$E10,Y$5&lt;=$G10),1,"")</f>
        <v/>
      </c>
      <c r="Z10" s="20" t="str">
        <f aca="false">IF(AND(Z$5&gt;=$E10,Z$5&lt;=$G10),1,"")</f>
        <v/>
      </c>
      <c r="AA10" s="20" t="str">
        <f aca="false">IF(AND(AA$5&gt;=$E10,AA$5&lt;=$G10),1,"")</f>
        <v/>
      </c>
      <c r="AB10" s="20" t="str">
        <f aca="false">IF(AND(AB$5&gt;=$E10,AB$5&lt;=$G10),1,"")</f>
        <v/>
      </c>
    </row>
    <row r="11" customFormat="false" ht="15" hidden="false" customHeight="false" outlineLevel="0" collapsed="false">
      <c r="A11" s="4" t="s">
        <v>60</v>
      </c>
      <c r="B11" s="4" t="s">
        <v>57</v>
      </c>
      <c r="C11" s="4" t="s">
        <v>61</v>
      </c>
      <c r="D11" s="4" t="s">
        <v>55</v>
      </c>
      <c r="E11" s="18" t="n">
        <v>9</v>
      </c>
      <c r="F11" s="18" t="n">
        <v>2</v>
      </c>
      <c r="G11" s="4" t="n">
        <f aca="false">E11+F11-1</f>
        <v>10</v>
      </c>
      <c r="H11" s="19" t="n">
        <f aca="false">$C$3+(E11-1)*7</f>
        <v>46083</v>
      </c>
      <c r="I11" s="19" t="n">
        <f aca="false">$C$3+G11*7-3</f>
        <v>46094</v>
      </c>
      <c r="J11" s="20" t="str">
        <f aca="false">IF(AND(J$5&gt;=$E11,J$5&lt;=$G11),1,"")</f>
        <v/>
      </c>
      <c r="K11" s="20" t="str">
        <f aca="false">IF(AND(K$5&gt;=$E11,K$5&lt;=$G11),1,"")</f>
        <v/>
      </c>
      <c r="L11" s="20" t="str">
        <f aca="false">IF(AND(L$5&gt;=$E11,L$5&lt;=$G11),1,"")</f>
        <v/>
      </c>
      <c r="M11" s="20" t="str">
        <f aca="false">IF(AND(M$5&gt;=$E11,M$5&lt;=$G11),1,"")</f>
        <v/>
      </c>
      <c r="N11" s="20" t="str">
        <f aca="false">IF(AND(N$5&gt;=$E11,N$5&lt;=$G11),1,"")</f>
        <v/>
      </c>
      <c r="O11" s="20" t="str">
        <f aca="false">IF(AND(O$5&gt;=$E11,O$5&lt;=$G11),1,"")</f>
        <v/>
      </c>
      <c r="P11" s="20" t="str">
        <f aca="false">IF(AND(P$5&gt;=$E11,P$5&lt;=$G11),1,"")</f>
        <v/>
      </c>
      <c r="Q11" s="20" t="str">
        <f aca="false">IF(AND(Q$5&gt;=$E11,Q$5&lt;=$G11),1,"")</f>
        <v/>
      </c>
      <c r="R11" s="20" t="n">
        <f aca="false">IF(AND(R$5&gt;=$E11,R$5&lt;=$G11),1,"")</f>
        <v>1</v>
      </c>
      <c r="S11" s="20" t="n">
        <f aca="false">IF(AND(S$5&gt;=$E11,S$5&lt;=$G11),1,"")</f>
        <v>1</v>
      </c>
      <c r="T11" s="20" t="str">
        <f aca="false">IF(AND(T$5&gt;=$E11,T$5&lt;=$G11),1,"")</f>
        <v/>
      </c>
      <c r="U11" s="20" t="str">
        <f aca="false">IF(AND(U$5&gt;=$E11,U$5&lt;=$G11),1,"")</f>
        <v/>
      </c>
      <c r="V11" s="20" t="str">
        <f aca="false">IF(AND(V$5&gt;=$E11,V$5&lt;=$G11),1,"")</f>
        <v/>
      </c>
      <c r="W11" s="20" t="str">
        <f aca="false">IF(AND(W$5&gt;=$E11,W$5&lt;=$G11),1,"")</f>
        <v/>
      </c>
      <c r="X11" s="20" t="str">
        <f aca="false">IF(AND(X$5&gt;=$E11,X$5&lt;=$G11),1,"")</f>
        <v/>
      </c>
      <c r="Y11" s="20" t="str">
        <f aca="false">IF(AND(Y$5&gt;=$E11,Y$5&lt;=$G11),1,"")</f>
        <v/>
      </c>
      <c r="Z11" s="20" t="str">
        <f aca="false">IF(AND(Z$5&gt;=$E11,Z$5&lt;=$G11),1,"")</f>
        <v/>
      </c>
      <c r="AA11" s="20" t="str">
        <f aca="false">IF(AND(AA$5&gt;=$E11,AA$5&lt;=$G11),1,"")</f>
        <v/>
      </c>
      <c r="AB11" s="20" t="str">
        <f aca="false">IF(AND(AB$5&gt;=$E11,AB$5&lt;=$G11),1,"")</f>
        <v/>
      </c>
    </row>
    <row r="12" customFormat="false" ht="15" hidden="false" customHeight="false" outlineLevel="0" collapsed="false">
      <c r="A12" s="4" t="s">
        <v>62</v>
      </c>
      <c r="B12" s="4" t="s">
        <v>57</v>
      </c>
      <c r="C12" s="4" t="s">
        <v>63</v>
      </c>
      <c r="D12" s="4" t="s">
        <v>55</v>
      </c>
      <c r="E12" s="18" t="n">
        <v>11</v>
      </c>
      <c r="F12" s="18" t="n">
        <v>2</v>
      </c>
      <c r="G12" s="4" t="n">
        <f aca="false">E12+F12-1</f>
        <v>12</v>
      </c>
      <c r="H12" s="19" t="n">
        <f aca="false">$C$3+(E12-1)*7</f>
        <v>46097</v>
      </c>
      <c r="I12" s="19" t="n">
        <f aca="false">$C$3+G12*7-3</f>
        <v>46108</v>
      </c>
      <c r="J12" s="20" t="str">
        <f aca="false">IF(AND(J$5&gt;=$E12,J$5&lt;=$G12),1,"")</f>
        <v/>
      </c>
      <c r="K12" s="20" t="str">
        <f aca="false">IF(AND(K$5&gt;=$E12,K$5&lt;=$G12),1,"")</f>
        <v/>
      </c>
      <c r="L12" s="20" t="str">
        <f aca="false">IF(AND(L$5&gt;=$E12,L$5&lt;=$G12),1,"")</f>
        <v/>
      </c>
      <c r="M12" s="20" t="str">
        <f aca="false">IF(AND(M$5&gt;=$E12,M$5&lt;=$G12),1,"")</f>
        <v/>
      </c>
      <c r="N12" s="20" t="str">
        <f aca="false">IF(AND(N$5&gt;=$E12,N$5&lt;=$G12),1,"")</f>
        <v/>
      </c>
      <c r="O12" s="20" t="str">
        <f aca="false">IF(AND(O$5&gt;=$E12,O$5&lt;=$G12),1,"")</f>
        <v/>
      </c>
      <c r="P12" s="20" t="str">
        <f aca="false">IF(AND(P$5&gt;=$E12,P$5&lt;=$G12),1,"")</f>
        <v/>
      </c>
      <c r="Q12" s="20" t="str">
        <f aca="false">IF(AND(Q$5&gt;=$E12,Q$5&lt;=$G12),1,"")</f>
        <v/>
      </c>
      <c r="R12" s="20" t="str">
        <f aca="false">IF(AND(R$5&gt;=$E12,R$5&lt;=$G12),1,"")</f>
        <v/>
      </c>
      <c r="S12" s="20" t="str">
        <f aca="false">IF(AND(S$5&gt;=$E12,S$5&lt;=$G12),1,"")</f>
        <v/>
      </c>
      <c r="T12" s="20" t="n">
        <f aca="false">IF(AND(T$5&gt;=$E12,T$5&lt;=$G12),1,"")</f>
        <v>1</v>
      </c>
      <c r="U12" s="20" t="n">
        <f aca="false">IF(AND(U$5&gt;=$E12,U$5&lt;=$G12),1,"")</f>
        <v>1</v>
      </c>
      <c r="V12" s="20" t="str">
        <f aca="false">IF(AND(V$5&gt;=$E12,V$5&lt;=$G12),1,"")</f>
        <v/>
      </c>
      <c r="W12" s="20" t="str">
        <f aca="false">IF(AND(W$5&gt;=$E12,W$5&lt;=$G12),1,"")</f>
        <v/>
      </c>
      <c r="X12" s="20" t="str">
        <f aca="false">IF(AND(X$5&gt;=$E12,X$5&lt;=$G12),1,"")</f>
        <v/>
      </c>
      <c r="Y12" s="20" t="str">
        <f aca="false">IF(AND(Y$5&gt;=$E12,Y$5&lt;=$G12),1,"")</f>
        <v/>
      </c>
      <c r="Z12" s="20" t="str">
        <f aca="false">IF(AND(Z$5&gt;=$E12,Z$5&lt;=$G12),1,"")</f>
        <v/>
      </c>
      <c r="AA12" s="20" t="str">
        <f aca="false">IF(AND(AA$5&gt;=$E12,AA$5&lt;=$G12),1,"")</f>
        <v/>
      </c>
      <c r="AB12" s="20" t="str">
        <f aca="false">IF(AND(AB$5&gt;=$E12,AB$5&lt;=$G12),1,"")</f>
        <v/>
      </c>
    </row>
    <row r="13" customFormat="false" ht="15" hidden="false" customHeight="false" outlineLevel="0" collapsed="false">
      <c r="A13" s="4" t="s">
        <v>64</v>
      </c>
      <c r="B13" s="4" t="s">
        <v>57</v>
      </c>
      <c r="C13" s="4" t="s">
        <v>65</v>
      </c>
      <c r="D13" s="4" t="s">
        <v>55</v>
      </c>
      <c r="E13" s="18" t="n">
        <v>13</v>
      </c>
      <c r="F13" s="18" t="n">
        <v>2</v>
      </c>
      <c r="G13" s="4" t="n">
        <f aca="false">E13+F13-1</f>
        <v>14</v>
      </c>
      <c r="H13" s="19" t="n">
        <f aca="false">$C$3+(E13-1)*7</f>
        <v>46111</v>
      </c>
      <c r="I13" s="19" t="n">
        <f aca="false">$C$3+G13*7-3</f>
        <v>46122</v>
      </c>
      <c r="J13" s="20" t="str">
        <f aca="false">IF(AND(J$5&gt;=$E13,J$5&lt;=$G13),1,"")</f>
        <v/>
      </c>
      <c r="K13" s="20" t="str">
        <f aca="false">IF(AND(K$5&gt;=$E13,K$5&lt;=$G13),1,"")</f>
        <v/>
      </c>
      <c r="L13" s="20" t="str">
        <f aca="false">IF(AND(L$5&gt;=$E13,L$5&lt;=$G13),1,"")</f>
        <v/>
      </c>
      <c r="M13" s="20" t="str">
        <f aca="false">IF(AND(M$5&gt;=$E13,M$5&lt;=$G13),1,"")</f>
        <v/>
      </c>
      <c r="N13" s="20" t="str">
        <f aca="false">IF(AND(N$5&gt;=$E13,N$5&lt;=$G13),1,"")</f>
        <v/>
      </c>
      <c r="O13" s="20" t="str">
        <f aca="false">IF(AND(O$5&gt;=$E13,O$5&lt;=$G13),1,"")</f>
        <v/>
      </c>
      <c r="P13" s="20" t="str">
        <f aca="false">IF(AND(P$5&gt;=$E13,P$5&lt;=$G13),1,"")</f>
        <v/>
      </c>
      <c r="Q13" s="20" t="str">
        <f aca="false">IF(AND(Q$5&gt;=$E13,Q$5&lt;=$G13),1,"")</f>
        <v/>
      </c>
      <c r="R13" s="20" t="str">
        <f aca="false">IF(AND(R$5&gt;=$E13,R$5&lt;=$G13),1,"")</f>
        <v/>
      </c>
      <c r="S13" s="20" t="str">
        <f aca="false">IF(AND(S$5&gt;=$E13,S$5&lt;=$G13),1,"")</f>
        <v/>
      </c>
      <c r="T13" s="20" t="str">
        <f aca="false">IF(AND(T$5&gt;=$E13,T$5&lt;=$G13),1,"")</f>
        <v/>
      </c>
      <c r="U13" s="20" t="str">
        <f aca="false">IF(AND(U$5&gt;=$E13,U$5&lt;=$G13),1,"")</f>
        <v/>
      </c>
      <c r="V13" s="20" t="n">
        <f aca="false">IF(AND(V$5&gt;=$E13,V$5&lt;=$G13),1,"")</f>
        <v>1</v>
      </c>
      <c r="W13" s="20" t="n">
        <f aca="false">IF(AND(W$5&gt;=$E13,W$5&lt;=$G13),1,"")</f>
        <v>1</v>
      </c>
      <c r="X13" s="20" t="str">
        <f aca="false">IF(AND(X$5&gt;=$E13,X$5&lt;=$G13),1,"")</f>
        <v/>
      </c>
      <c r="Y13" s="20" t="str">
        <f aca="false">IF(AND(Y$5&gt;=$E13,Y$5&lt;=$G13),1,"")</f>
        <v/>
      </c>
      <c r="Z13" s="20" t="str">
        <f aca="false">IF(AND(Z$5&gt;=$E13,Z$5&lt;=$G13),1,"")</f>
        <v/>
      </c>
      <c r="AA13" s="20" t="str">
        <f aca="false">IF(AND(AA$5&gt;=$E13,AA$5&lt;=$G13),1,"")</f>
        <v/>
      </c>
      <c r="AB13" s="20" t="str">
        <f aca="false">IF(AND(AB$5&gt;=$E13,AB$5&lt;=$G13),1,"")</f>
        <v/>
      </c>
    </row>
    <row r="14" customFormat="false" ht="15" hidden="false" customHeight="false" outlineLevel="0" collapsed="false">
      <c r="A14" s="4" t="s">
        <v>66</v>
      </c>
      <c r="B14" s="4" t="s">
        <v>67</v>
      </c>
      <c r="C14" s="4" t="s">
        <v>68</v>
      </c>
      <c r="D14" s="4" t="s">
        <v>59</v>
      </c>
      <c r="E14" s="18" t="n">
        <v>10</v>
      </c>
      <c r="F14" s="18" t="n">
        <v>5</v>
      </c>
      <c r="G14" s="4" t="n">
        <f aca="false">E14+F14-1</f>
        <v>14</v>
      </c>
      <c r="H14" s="19" t="n">
        <f aca="false">$C$3+(E14-1)*7</f>
        <v>46090</v>
      </c>
      <c r="I14" s="19" t="n">
        <f aca="false">$C$3+G14*7-3</f>
        <v>46122</v>
      </c>
      <c r="J14" s="20" t="str">
        <f aca="false">IF(AND(J$5&gt;=$E14,J$5&lt;=$G14),1,"")</f>
        <v/>
      </c>
      <c r="K14" s="20" t="str">
        <f aca="false">IF(AND(K$5&gt;=$E14,K$5&lt;=$G14),1,"")</f>
        <v/>
      </c>
      <c r="L14" s="20" t="str">
        <f aca="false">IF(AND(L$5&gt;=$E14,L$5&lt;=$G14),1,"")</f>
        <v/>
      </c>
      <c r="M14" s="20" t="str">
        <f aca="false">IF(AND(M$5&gt;=$E14,M$5&lt;=$G14),1,"")</f>
        <v/>
      </c>
      <c r="N14" s="20" t="str">
        <f aca="false">IF(AND(N$5&gt;=$E14,N$5&lt;=$G14),1,"")</f>
        <v/>
      </c>
      <c r="O14" s="20" t="str">
        <f aca="false">IF(AND(O$5&gt;=$E14,O$5&lt;=$G14),1,"")</f>
        <v/>
      </c>
      <c r="P14" s="20" t="str">
        <f aca="false">IF(AND(P$5&gt;=$E14,P$5&lt;=$G14),1,"")</f>
        <v/>
      </c>
      <c r="Q14" s="20" t="str">
        <f aca="false">IF(AND(Q$5&gt;=$E14,Q$5&lt;=$G14),1,"")</f>
        <v/>
      </c>
      <c r="R14" s="20" t="str">
        <f aca="false">IF(AND(R$5&gt;=$E14,R$5&lt;=$G14),1,"")</f>
        <v/>
      </c>
      <c r="S14" s="20" t="n">
        <f aca="false">IF(AND(S$5&gt;=$E14,S$5&lt;=$G14),1,"")</f>
        <v>1</v>
      </c>
      <c r="T14" s="20" t="n">
        <f aca="false">IF(AND(T$5&gt;=$E14,T$5&lt;=$G14),1,"")</f>
        <v>1</v>
      </c>
      <c r="U14" s="20" t="n">
        <f aca="false">IF(AND(U$5&gt;=$E14,U$5&lt;=$G14),1,"")</f>
        <v>1</v>
      </c>
      <c r="V14" s="20" t="n">
        <f aca="false">IF(AND(V$5&gt;=$E14,V$5&lt;=$G14),1,"")</f>
        <v>1</v>
      </c>
      <c r="W14" s="20" t="n">
        <f aca="false">IF(AND(W$5&gt;=$E14,W$5&lt;=$G14),1,"")</f>
        <v>1</v>
      </c>
      <c r="X14" s="20" t="str">
        <f aca="false">IF(AND(X$5&gt;=$E14,X$5&lt;=$G14),1,"")</f>
        <v/>
      </c>
      <c r="Y14" s="20" t="str">
        <f aca="false">IF(AND(Y$5&gt;=$E14,Y$5&lt;=$G14),1,"")</f>
        <v/>
      </c>
      <c r="Z14" s="20" t="str">
        <f aca="false">IF(AND(Z$5&gt;=$E14,Z$5&lt;=$G14),1,"")</f>
        <v/>
      </c>
      <c r="AA14" s="20" t="str">
        <f aca="false">IF(AND(AA$5&gt;=$E14,AA$5&lt;=$G14),1,"")</f>
        <v/>
      </c>
      <c r="AB14" s="20" t="str">
        <f aca="false">IF(AND(AB$5&gt;=$E14,AB$5&lt;=$G14),1,"")</f>
        <v/>
      </c>
    </row>
    <row r="15" customFormat="false" ht="15" hidden="false" customHeight="false" outlineLevel="0" collapsed="false">
      <c r="A15" s="4" t="s">
        <v>69</v>
      </c>
      <c r="B15" s="4" t="s">
        <v>67</v>
      </c>
      <c r="C15" s="4" t="s">
        <v>70</v>
      </c>
      <c r="D15" s="4" t="s">
        <v>45</v>
      </c>
      <c r="E15" s="18" t="n">
        <v>16</v>
      </c>
      <c r="F15" s="18" t="n">
        <v>1</v>
      </c>
      <c r="G15" s="4" t="n">
        <f aca="false">E15+F15-1</f>
        <v>16</v>
      </c>
      <c r="H15" s="19" t="n">
        <f aca="false">$C$3+(E15-1)*7</f>
        <v>46132</v>
      </c>
      <c r="I15" s="19" t="n">
        <f aca="false">$C$3+G15*7-3</f>
        <v>46136</v>
      </c>
      <c r="J15" s="20" t="str">
        <f aca="false">IF(AND(J$5&gt;=$E15,J$5&lt;=$G15),1,"")</f>
        <v/>
      </c>
      <c r="K15" s="20" t="str">
        <f aca="false">IF(AND(K$5&gt;=$E15,K$5&lt;=$G15),1,"")</f>
        <v/>
      </c>
      <c r="L15" s="20" t="str">
        <f aca="false">IF(AND(L$5&gt;=$E15,L$5&lt;=$G15),1,"")</f>
        <v/>
      </c>
      <c r="M15" s="20" t="str">
        <f aca="false">IF(AND(M$5&gt;=$E15,M$5&lt;=$G15),1,"")</f>
        <v/>
      </c>
      <c r="N15" s="20" t="str">
        <f aca="false">IF(AND(N$5&gt;=$E15,N$5&lt;=$G15),1,"")</f>
        <v/>
      </c>
      <c r="O15" s="20" t="str">
        <f aca="false">IF(AND(O$5&gt;=$E15,O$5&lt;=$G15),1,"")</f>
        <v/>
      </c>
      <c r="P15" s="20" t="str">
        <f aca="false">IF(AND(P$5&gt;=$E15,P$5&lt;=$G15),1,"")</f>
        <v/>
      </c>
      <c r="Q15" s="20" t="str">
        <f aca="false">IF(AND(Q$5&gt;=$E15,Q$5&lt;=$G15),1,"")</f>
        <v/>
      </c>
      <c r="R15" s="20" t="str">
        <f aca="false">IF(AND(R$5&gt;=$E15,R$5&lt;=$G15),1,"")</f>
        <v/>
      </c>
      <c r="S15" s="20" t="str">
        <f aca="false">IF(AND(S$5&gt;=$E15,S$5&lt;=$G15),1,"")</f>
        <v/>
      </c>
      <c r="T15" s="20" t="str">
        <f aca="false">IF(AND(T$5&gt;=$E15,T$5&lt;=$G15),1,"")</f>
        <v/>
      </c>
      <c r="U15" s="20" t="str">
        <f aca="false">IF(AND(U$5&gt;=$E15,U$5&lt;=$G15),1,"")</f>
        <v/>
      </c>
      <c r="V15" s="20" t="str">
        <f aca="false">IF(AND(V$5&gt;=$E15,V$5&lt;=$G15),1,"")</f>
        <v/>
      </c>
      <c r="W15" s="20" t="str">
        <f aca="false">IF(AND(W$5&gt;=$E15,W$5&lt;=$G15),1,"")</f>
        <v/>
      </c>
      <c r="X15" s="20" t="str">
        <f aca="false">IF(AND(X$5&gt;=$E15,X$5&lt;=$G15),1,"")</f>
        <v/>
      </c>
      <c r="Y15" s="20" t="n">
        <f aca="false">IF(AND(Y$5&gt;=$E15,Y$5&lt;=$G15),1,"")</f>
        <v>1</v>
      </c>
      <c r="Z15" s="20" t="str">
        <f aca="false">IF(AND(Z$5&gt;=$E15,Z$5&lt;=$G15),1,"")</f>
        <v/>
      </c>
      <c r="AA15" s="20" t="str">
        <f aca="false">IF(AND(AA$5&gt;=$E15,AA$5&lt;=$G15),1,"")</f>
        <v/>
      </c>
      <c r="AB15" s="20" t="str">
        <f aca="false">IF(AND(AB$5&gt;=$E15,AB$5&lt;=$G15),1,"")</f>
        <v/>
      </c>
    </row>
    <row r="16" customFormat="false" ht="15" hidden="false" customHeight="false" outlineLevel="0" collapsed="false">
      <c r="A16" s="4" t="s">
        <v>71</v>
      </c>
      <c r="B16" s="4" t="s">
        <v>72</v>
      </c>
      <c r="C16" s="4" t="s">
        <v>73</v>
      </c>
      <c r="D16" s="4" t="s">
        <v>45</v>
      </c>
      <c r="E16" s="18" t="n">
        <v>17</v>
      </c>
      <c r="F16" s="18" t="n">
        <v>2</v>
      </c>
      <c r="G16" s="4" t="n">
        <f aca="false">E16+F16-1</f>
        <v>18</v>
      </c>
      <c r="H16" s="19" t="n">
        <f aca="false">$C$3+(E16-1)*7</f>
        <v>46139</v>
      </c>
      <c r="I16" s="19" t="n">
        <f aca="false">$C$3+G16*7-3</f>
        <v>46150</v>
      </c>
      <c r="J16" s="20" t="str">
        <f aca="false">IF(AND(J$5&gt;=$E16,J$5&lt;=$G16),1,"")</f>
        <v/>
      </c>
      <c r="K16" s="20" t="str">
        <f aca="false">IF(AND(K$5&gt;=$E16,K$5&lt;=$G16),1,"")</f>
        <v/>
      </c>
      <c r="L16" s="20" t="str">
        <f aca="false">IF(AND(L$5&gt;=$E16,L$5&lt;=$G16),1,"")</f>
        <v/>
      </c>
      <c r="M16" s="20" t="str">
        <f aca="false">IF(AND(M$5&gt;=$E16,M$5&lt;=$G16),1,"")</f>
        <v/>
      </c>
      <c r="N16" s="20" t="str">
        <f aca="false">IF(AND(N$5&gt;=$E16,N$5&lt;=$G16),1,"")</f>
        <v/>
      </c>
      <c r="O16" s="20" t="str">
        <f aca="false">IF(AND(O$5&gt;=$E16,O$5&lt;=$G16),1,"")</f>
        <v/>
      </c>
      <c r="P16" s="20" t="str">
        <f aca="false">IF(AND(P$5&gt;=$E16,P$5&lt;=$G16),1,"")</f>
        <v/>
      </c>
      <c r="Q16" s="20" t="str">
        <f aca="false">IF(AND(Q$5&gt;=$E16,Q$5&lt;=$G16),1,"")</f>
        <v/>
      </c>
      <c r="R16" s="20" t="str">
        <f aca="false">IF(AND(R$5&gt;=$E16,R$5&lt;=$G16),1,"")</f>
        <v/>
      </c>
      <c r="S16" s="20" t="str">
        <f aca="false">IF(AND(S$5&gt;=$E16,S$5&lt;=$G16),1,"")</f>
        <v/>
      </c>
      <c r="T16" s="20" t="str">
        <f aca="false">IF(AND(T$5&gt;=$E16,T$5&lt;=$G16),1,"")</f>
        <v/>
      </c>
      <c r="U16" s="20" t="str">
        <f aca="false">IF(AND(U$5&gt;=$E16,U$5&lt;=$G16),1,"")</f>
        <v/>
      </c>
      <c r="V16" s="20" t="str">
        <f aca="false">IF(AND(V$5&gt;=$E16,V$5&lt;=$G16),1,"")</f>
        <v/>
      </c>
      <c r="W16" s="20" t="str">
        <f aca="false">IF(AND(W$5&gt;=$E16,W$5&lt;=$G16),1,"")</f>
        <v/>
      </c>
      <c r="X16" s="20" t="str">
        <f aca="false">IF(AND(X$5&gt;=$E16,X$5&lt;=$G16),1,"")</f>
        <v/>
      </c>
      <c r="Y16" s="20" t="str">
        <f aca="false">IF(AND(Y$5&gt;=$E16,Y$5&lt;=$G16),1,"")</f>
        <v/>
      </c>
      <c r="Z16" s="20" t="n">
        <f aca="false">IF(AND(Z$5&gt;=$E16,Z$5&lt;=$G16),1,"")</f>
        <v>1</v>
      </c>
      <c r="AA16" s="20" t="n">
        <f aca="false">IF(AND(AA$5&gt;=$E16,AA$5&lt;=$G16),1,"")</f>
        <v>1</v>
      </c>
      <c r="AB16" s="20" t="str">
        <f aca="false">IF(AND(AB$5&gt;=$E16,AB$5&lt;=$G16),1,"")</f>
        <v/>
      </c>
    </row>
    <row r="17" customFormat="false" ht="15" hidden="false" customHeight="false" outlineLevel="0" collapsed="false">
      <c r="A17" s="4" t="s">
        <v>74</v>
      </c>
      <c r="B17" s="4" t="s">
        <v>75</v>
      </c>
      <c r="C17" s="3" t="s">
        <v>76</v>
      </c>
      <c r="D17" s="4"/>
      <c r="E17" s="18" t="n">
        <v>1</v>
      </c>
      <c r="F17" s="18" t="n">
        <v>0</v>
      </c>
      <c r="G17" s="4" t="n">
        <f aca="false">E17</f>
        <v>1</v>
      </c>
      <c r="H17" s="19" t="n">
        <f aca="false">$C$3+(E17-1)*7</f>
        <v>46027</v>
      </c>
      <c r="I17" s="19" t="n">
        <f aca="false">H17</f>
        <v>46027</v>
      </c>
      <c r="J17" s="20" t="str">
        <f aca="false">IF(J$5=$E17,"◆","")</f>
        <v>◆</v>
      </c>
      <c r="K17" s="20" t="str">
        <f aca="false">IF(K$5=$E17,"◆","")</f>
        <v/>
      </c>
      <c r="L17" s="20" t="str">
        <f aca="false">IF(L$5=$E17,"◆","")</f>
        <v/>
      </c>
      <c r="M17" s="20" t="str">
        <f aca="false">IF(M$5=$E17,"◆","")</f>
        <v/>
      </c>
      <c r="N17" s="20" t="str">
        <f aca="false">IF(N$5=$E17,"◆","")</f>
        <v/>
      </c>
      <c r="O17" s="20" t="str">
        <f aca="false">IF(O$5=$E17,"◆","")</f>
        <v/>
      </c>
      <c r="P17" s="20" t="str">
        <f aca="false">IF(P$5=$E17,"◆","")</f>
        <v/>
      </c>
      <c r="Q17" s="20" t="str">
        <f aca="false">IF(Q$5=$E17,"◆","")</f>
        <v/>
      </c>
      <c r="R17" s="20" t="str">
        <f aca="false">IF(R$5=$E17,"◆","")</f>
        <v/>
      </c>
      <c r="S17" s="20" t="str">
        <f aca="false">IF(S$5=$E17,"◆","")</f>
        <v/>
      </c>
      <c r="T17" s="20" t="str">
        <f aca="false">IF(T$5=$E17,"◆","")</f>
        <v/>
      </c>
      <c r="U17" s="20" t="str">
        <f aca="false">IF(U$5=$E17,"◆","")</f>
        <v/>
      </c>
      <c r="V17" s="20" t="str">
        <f aca="false">IF(V$5=$E17,"◆","")</f>
        <v/>
      </c>
      <c r="W17" s="20" t="str">
        <f aca="false">IF(W$5=$E17,"◆","")</f>
        <v/>
      </c>
      <c r="X17" s="20" t="str">
        <f aca="false">IF(X$5=$E17,"◆","")</f>
        <v/>
      </c>
      <c r="Y17" s="20" t="str">
        <f aca="false">IF(Y$5=$E17,"◆","")</f>
        <v/>
      </c>
      <c r="Z17" s="20" t="str">
        <f aca="false">IF(Z$5=$E17,"◆","")</f>
        <v/>
      </c>
      <c r="AA17" s="20" t="str">
        <f aca="false">IF(AA$5=$E17,"◆","")</f>
        <v/>
      </c>
      <c r="AB17" s="20" t="str">
        <f aca="false">IF(AB$5=$E17,"◆","")</f>
        <v/>
      </c>
    </row>
    <row r="18" customFormat="false" ht="15" hidden="false" customHeight="false" outlineLevel="0" collapsed="false">
      <c r="A18" s="4" t="s">
        <v>77</v>
      </c>
      <c r="B18" s="4" t="s">
        <v>75</v>
      </c>
      <c r="C18" s="3" t="s">
        <v>78</v>
      </c>
      <c r="D18" s="4"/>
      <c r="E18" s="18" t="n">
        <v>4</v>
      </c>
      <c r="F18" s="18" t="n">
        <v>0</v>
      </c>
      <c r="G18" s="4" t="n">
        <f aca="false">E18</f>
        <v>4</v>
      </c>
      <c r="H18" s="19" t="n">
        <f aca="false">$C$3+(E18-1)*7</f>
        <v>46048</v>
      </c>
      <c r="I18" s="19" t="n">
        <f aca="false">H18</f>
        <v>46048</v>
      </c>
      <c r="J18" s="20" t="str">
        <f aca="false">IF(J$5=$E18,"◆","")</f>
        <v/>
      </c>
      <c r="K18" s="20" t="str">
        <f aca="false">IF(K$5=$E18,"◆","")</f>
        <v/>
      </c>
      <c r="L18" s="20" t="str">
        <f aca="false">IF(L$5=$E18,"◆","")</f>
        <v/>
      </c>
      <c r="M18" s="20" t="str">
        <f aca="false">IF(M$5=$E18,"◆","")</f>
        <v>◆</v>
      </c>
      <c r="N18" s="20" t="str">
        <f aca="false">IF(N$5=$E18,"◆","")</f>
        <v/>
      </c>
      <c r="O18" s="20" t="str">
        <f aca="false">IF(O$5=$E18,"◆","")</f>
        <v/>
      </c>
      <c r="P18" s="20" t="str">
        <f aca="false">IF(P$5=$E18,"◆","")</f>
        <v/>
      </c>
      <c r="Q18" s="20" t="str">
        <f aca="false">IF(Q$5=$E18,"◆","")</f>
        <v/>
      </c>
      <c r="R18" s="20" t="str">
        <f aca="false">IF(R$5=$E18,"◆","")</f>
        <v/>
      </c>
      <c r="S18" s="20" t="str">
        <f aca="false">IF(S$5=$E18,"◆","")</f>
        <v/>
      </c>
      <c r="T18" s="20" t="str">
        <f aca="false">IF(T$5=$E18,"◆","")</f>
        <v/>
      </c>
      <c r="U18" s="20" t="str">
        <f aca="false">IF(U$5=$E18,"◆","")</f>
        <v/>
      </c>
      <c r="V18" s="20" t="str">
        <f aca="false">IF(V$5=$E18,"◆","")</f>
        <v/>
      </c>
      <c r="W18" s="20" t="str">
        <f aca="false">IF(W$5=$E18,"◆","")</f>
        <v/>
      </c>
      <c r="X18" s="20" t="str">
        <f aca="false">IF(X$5=$E18,"◆","")</f>
        <v/>
      </c>
      <c r="Y18" s="20" t="str">
        <f aca="false">IF(Y$5=$E18,"◆","")</f>
        <v/>
      </c>
      <c r="Z18" s="20" t="str">
        <f aca="false">IF(Z$5=$E18,"◆","")</f>
        <v/>
      </c>
      <c r="AA18" s="20" t="str">
        <f aca="false">IF(AA$5=$E18,"◆","")</f>
        <v/>
      </c>
      <c r="AB18" s="20" t="str">
        <f aca="false">IF(AB$5=$E18,"◆","")</f>
        <v/>
      </c>
    </row>
    <row r="19" customFormat="false" ht="15" hidden="false" customHeight="false" outlineLevel="0" collapsed="false">
      <c r="A19" s="4" t="s">
        <v>79</v>
      </c>
      <c r="B19" s="4" t="s">
        <v>75</v>
      </c>
      <c r="C19" s="3" t="s">
        <v>80</v>
      </c>
      <c r="D19" s="4"/>
      <c r="E19" s="18" t="n">
        <v>6</v>
      </c>
      <c r="F19" s="18" t="n">
        <v>0</v>
      </c>
      <c r="G19" s="4" t="n">
        <f aca="false">E19</f>
        <v>6</v>
      </c>
      <c r="H19" s="19" t="n">
        <f aca="false">$C$3+(E19-1)*7</f>
        <v>46062</v>
      </c>
      <c r="I19" s="19" t="n">
        <f aca="false">H19</f>
        <v>46062</v>
      </c>
      <c r="J19" s="20" t="str">
        <f aca="false">IF(J$5=$E19,"◆","")</f>
        <v/>
      </c>
      <c r="K19" s="20" t="str">
        <f aca="false">IF(K$5=$E19,"◆","")</f>
        <v/>
      </c>
      <c r="L19" s="20" t="str">
        <f aca="false">IF(L$5=$E19,"◆","")</f>
        <v/>
      </c>
      <c r="M19" s="20" t="str">
        <f aca="false">IF(M$5=$E19,"◆","")</f>
        <v/>
      </c>
      <c r="N19" s="20" t="str">
        <f aca="false">IF(N$5=$E19,"◆","")</f>
        <v/>
      </c>
      <c r="O19" s="20" t="str">
        <f aca="false">IF(O$5=$E19,"◆","")</f>
        <v>◆</v>
      </c>
      <c r="P19" s="20" t="str">
        <f aca="false">IF(P$5=$E19,"◆","")</f>
        <v/>
      </c>
      <c r="Q19" s="20" t="str">
        <f aca="false">IF(Q$5=$E19,"◆","")</f>
        <v/>
      </c>
      <c r="R19" s="20" t="str">
        <f aca="false">IF(R$5=$E19,"◆","")</f>
        <v/>
      </c>
      <c r="S19" s="20" t="str">
        <f aca="false">IF(S$5=$E19,"◆","")</f>
        <v/>
      </c>
      <c r="T19" s="20" t="str">
        <f aca="false">IF(T$5=$E19,"◆","")</f>
        <v/>
      </c>
      <c r="U19" s="20" t="str">
        <f aca="false">IF(U$5=$E19,"◆","")</f>
        <v/>
      </c>
      <c r="V19" s="20" t="str">
        <f aca="false">IF(V$5=$E19,"◆","")</f>
        <v/>
      </c>
      <c r="W19" s="20" t="str">
        <f aca="false">IF(W$5=$E19,"◆","")</f>
        <v/>
      </c>
      <c r="X19" s="20" t="str">
        <f aca="false">IF(X$5=$E19,"◆","")</f>
        <v/>
      </c>
      <c r="Y19" s="20" t="str">
        <f aca="false">IF(Y$5=$E19,"◆","")</f>
        <v/>
      </c>
      <c r="Z19" s="20" t="str">
        <f aca="false">IF(Z$5=$E19,"◆","")</f>
        <v/>
      </c>
      <c r="AA19" s="20" t="str">
        <f aca="false">IF(AA$5=$E19,"◆","")</f>
        <v/>
      </c>
      <c r="AB19" s="20" t="str">
        <f aca="false">IF(AB$5=$E19,"◆","")</f>
        <v/>
      </c>
    </row>
    <row r="20" customFormat="false" ht="15" hidden="false" customHeight="false" outlineLevel="0" collapsed="false">
      <c r="A20" s="4" t="s">
        <v>81</v>
      </c>
      <c r="B20" s="4" t="s">
        <v>75</v>
      </c>
      <c r="C20" s="3" t="s">
        <v>82</v>
      </c>
      <c r="D20" s="4"/>
      <c r="E20" s="18" t="n">
        <v>8</v>
      </c>
      <c r="F20" s="18" t="n">
        <v>0</v>
      </c>
      <c r="G20" s="4" t="n">
        <f aca="false">E20</f>
        <v>8</v>
      </c>
      <c r="H20" s="19" t="n">
        <f aca="false">$C$3+(E20-1)*7</f>
        <v>46076</v>
      </c>
      <c r="I20" s="19" t="n">
        <f aca="false">H20</f>
        <v>46076</v>
      </c>
      <c r="J20" s="20" t="str">
        <f aca="false">IF(J$5=$E20,"◆","")</f>
        <v/>
      </c>
      <c r="K20" s="20" t="str">
        <f aca="false">IF(K$5=$E20,"◆","")</f>
        <v/>
      </c>
      <c r="L20" s="20" t="str">
        <f aca="false">IF(L$5=$E20,"◆","")</f>
        <v/>
      </c>
      <c r="M20" s="20" t="str">
        <f aca="false">IF(M$5=$E20,"◆","")</f>
        <v/>
      </c>
      <c r="N20" s="20" t="str">
        <f aca="false">IF(N$5=$E20,"◆","")</f>
        <v/>
      </c>
      <c r="O20" s="20" t="str">
        <f aca="false">IF(O$5=$E20,"◆","")</f>
        <v/>
      </c>
      <c r="P20" s="20" t="str">
        <f aca="false">IF(P$5=$E20,"◆","")</f>
        <v/>
      </c>
      <c r="Q20" s="20" t="str">
        <f aca="false">IF(Q$5=$E20,"◆","")</f>
        <v>◆</v>
      </c>
      <c r="R20" s="20" t="str">
        <f aca="false">IF(R$5=$E20,"◆","")</f>
        <v/>
      </c>
      <c r="S20" s="20" t="str">
        <f aca="false">IF(S$5=$E20,"◆","")</f>
        <v/>
      </c>
      <c r="T20" s="20" t="str">
        <f aca="false">IF(T$5=$E20,"◆","")</f>
        <v/>
      </c>
      <c r="U20" s="20" t="str">
        <f aca="false">IF(U$5=$E20,"◆","")</f>
        <v/>
      </c>
      <c r="V20" s="20" t="str">
        <f aca="false">IF(V$5=$E20,"◆","")</f>
        <v/>
      </c>
      <c r="W20" s="20" t="str">
        <f aca="false">IF(W$5=$E20,"◆","")</f>
        <v/>
      </c>
      <c r="X20" s="20" t="str">
        <f aca="false">IF(X$5=$E20,"◆","")</f>
        <v/>
      </c>
      <c r="Y20" s="20" t="str">
        <f aca="false">IF(Y$5=$E20,"◆","")</f>
        <v/>
      </c>
      <c r="Z20" s="20" t="str">
        <f aca="false">IF(Z$5=$E20,"◆","")</f>
        <v/>
      </c>
      <c r="AA20" s="20" t="str">
        <f aca="false">IF(AA$5=$E20,"◆","")</f>
        <v/>
      </c>
      <c r="AB20" s="20" t="str">
        <f aca="false">IF(AB$5=$E20,"◆","")</f>
        <v/>
      </c>
    </row>
    <row r="21" customFormat="false" ht="15" hidden="false" customHeight="false" outlineLevel="0" collapsed="false">
      <c r="A21" s="4" t="s">
        <v>83</v>
      </c>
      <c r="B21" s="4" t="s">
        <v>75</v>
      </c>
      <c r="C21" s="3" t="s">
        <v>84</v>
      </c>
      <c r="D21" s="4"/>
      <c r="E21" s="18" t="n">
        <v>12</v>
      </c>
      <c r="F21" s="18" t="n">
        <v>0</v>
      </c>
      <c r="G21" s="4" t="n">
        <f aca="false">E21</f>
        <v>12</v>
      </c>
      <c r="H21" s="19" t="n">
        <f aca="false">$C$3+(E21-1)*7</f>
        <v>46104</v>
      </c>
      <c r="I21" s="19" t="n">
        <f aca="false">H21</f>
        <v>46104</v>
      </c>
      <c r="J21" s="20" t="str">
        <f aca="false">IF(J$5=$E21,"◆","")</f>
        <v/>
      </c>
      <c r="K21" s="20" t="str">
        <f aca="false">IF(K$5=$E21,"◆","")</f>
        <v/>
      </c>
      <c r="L21" s="20" t="str">
        <f aca="false">IF(L$5=$E21,"◆","")</f>
        <v/>
      </c>
      <c r="M21" s="20" t="str">
        <f aca="false">IF(M$5=$E21,"◆","")</f>
        <v/>
      </c>
      <c r="N21" s="20" t="str">
        <f aca="false">IF(N$5=$E21,"◆","")</f>
        <v/>
      </c>
      <c r="O21" s="20" t="str">
        <f aca="false">IF(O$5=$E21,"◆","")</f>
        <v/>
      </c>
      <c r="P21" s="20" t="str">
        <f aca="false">IF(P$5=$E21,"◆","")</f>
        <v/>
      </c>
      <c r="Q21" s="20" t="str">
        <f aca="false">IF(Q$5=$E21,"◆","")</f>
        <v/>
      </c>
      <c r="R21" s="20" t="str">
        <f aca="false">IF(R$5=$E21,"◆","")</f>
        <v/>
      </c>
      <c r="S21" s="20" t="str">
        <f aca="false">IF(S$5=$E21,"◆","")</f>
        <v/>
      </c>
      <c r="T21" s="20" t="str">
        <f aca="false">IF(T$5=$E21,"◆","")</f>
        <v/>
      </c>
      <c r="U21" s="20" t="str">
        <f aca="false">IF(U$5=$E21,"◆","")</f>
        <v>◆</v>
      </c>
      <c r="V21" s="20" t="str">
        <f aca="false">IF(V$5=$E21,"◆","")</f>
        <v/>
      </c>
      <c r="W21" s="20" t="str">
        <f aca="false">IF(W$5=$E21,"◆","")</f>
        <v/>
      </c>
      <c r="X21" s="20" t="str">
        <f aca="false">IF(X$5=$E21,"◆","")</f>
        <v/>
      </c>
      <c r="Y21" s="20" t="str">
        <f aca="false">IF(Y$5=$E21,"◆","")</f>
        <v/>
      </c>
      <c r="Z21" s="20" t="str">
        <f aca="false">IF(Z$5=$E21,"◆","")</f>
        <v/>
      </c>
      <c r="AA21" s="20" t="str">
        <f aca="false">IF(AA$5=$E21,"◆","")</f>
        <v/>
      </c>
      <c r="AB21" s="20" t="str">
        <f aca="false">IF(AB$5=$E21,"◆","")</f>
        <v/>
      </c>
    </row>
    <row r="22" customFormat="false" ht="15" hidden="false" customHeight="false" outlineLevel="0" collapsed="false">
      <c r="A22" s="4" t="s">
        <v>85</v>
      </c>
      <c r="B22" s="4" t="s">
        <v>75</v>
      </c>
      <c r="C22" s="3" t="s">
        <v>86</v>
      </c>
      <c r="D22" s="4"/>
      <c r="E22" s="18" t="n">
        <v>14</v>
      </c>
      <c r="F22" s="18" t="n">
        <v>0</v>
      </c>
      <c r="G22" s="4" t="n">
        <f aca="false">E22</f>
        <v>14</v>
      </c>
      <c r="H22" s="19" t="n">
        <f aca="false">$C$3+(E22-1)*7</f>
        <v>46118</v>
      </c>
      <c r="I22" s="19" t="n">
        <f aca="false">H22</f>
        <v>46118</v>
      </c>
      <c r="J22" s="20" t="str">
        <f aca="false">IF(J$5=$E22,"◆","")</f>
        <v/>
      </c>
      <c r="K22" s="20" t="str">
        <f aca="false">IF(K$5=$E22,"◆","")</f>
        <v/>
      </c>
      <c r="L22" s="20" t="str">
        <f aca="false">IF(L$5=$E22,"◆","")</f>
        <v/>
      </c>
      <c r="M22" s="20" t="str">
        <f aca="false">IF(M$5=$E22,"◆","")</f>
        <v/>
      </c>
      <c r="N22" s="20" t="str">
        <f aca="false">IF(N$5=$E22,"◆","")</f>
        <v/>
      </c>
      <c r="O22" s="20" t="str">
        <f aca="false">IF(O$5=$E22,"◆","")</f>
        <v/>
      </c>
      <c r="P22" s="20" t="str">
        <f aca="false">IF(P$5=$E22,"◆","")</f>
        <v/>
      </c>
      <c r="Q22" s="20" t="str">
        <f aca="false">IF(Q$5=$E22,"◆","")</f>
        <v/>
      </c>
      <c r="R22" s="20" t="str">
        <f aca="false">IF(R$5=$E22,"◆","")</f>
        <v/>
      </c>
      <c r="S22" s="20" t="str">
        <f aca="false">IF(S$5=$E22,"◆","")</f>
        <v/>
      </c>
      <c r="T22" s="20" t="str">
        <f aca="false">IF(T$5=$E22,"◆","")</f>
        <v/>
      </c>
      <c r="U22" s="20" t="str">
        <f aca="false">IF(U$5=$E22,"◆","")</f>
        <v/>
      </c>
      <c r="V22" s="20" t="str">
        <f aca="false">IF(V$5=$E22,"◆","")</f>
        <v/>
      </c>
      <c r="W22" s="20" t="str">
        <f aca="false">IF(W$5=$E22,"◆","")</f>
        <v>◆</v>
      </c>
      <c r="X22" s="20" t="str">
        <f aca="false">IF(X$5=$E22,"◆","")</f>
        <v/>
      </c>
      <c r="Y22" s="20" t="str">
        <f aca="false">IF(Y$5=$E22,"◆","")</f>
        <v/>
      </c>
      <c r="Z22" s="20" t="str">
        <f aca="false">IF(Z$5=$E22,"◆","")</f>
        <v/>
      </c>
      <c r="AA22" s="20" t="str">
        <f aca="false">IF(AA$5=$E22,"◆","")</f>
        <v/>
      </c>
      <c r="AB22" s="20" t="str">
        <f aca="false">IF(AB$5=$E22,"◆","")</f>
        <v/>
      </c>
    </row>
    <row r="23" customFormat="false" ht="15" hidden="false" customHeight="false" outlineLevel="0" collapsed="false">
      <c r="A23" s="4" t="s">
        <v>87</v>
      </c>
      <c r="B23" s="4" t="s">
        <v>75</v>
      </c>
      <c r="C23" s="3" t="s">
        <v>88</v>
      </c>
      <c r="D23" s="4"/>
      <c r="E23" s="18" t="n">
        <v>16</v>
      </c>
      <c r="F23" s="18" t="n">
        <v>0</v>
      </c>
      <c r="G23" s="4" t="n">
        <f aca="false">E23</f>
        <v>16</v>
      </c>
      <c r="H23" s="19" t="n">
        <f aca="false">$C$3+(E23-1)*7</f>
        <v>46132</v>
      </c>
      <c r="I23" s="19" t="n">
        <f aca="false">H23</f>
        <v>46132</v>
      </c>
      <c r="J23" s="20" t="str">
        <f aca="false">IF(J$5=$E23,"◆","")</f>
        <v/>
      </c>
      <c r="K23" s="20" t="str">
        <f aca="false">IF(K$5=$E23,"◆","")</f>
        <v/>
      </c>
      <c r="L23" s="20" t="str">
        <f aca="false">IF(L$5=$E23,"◆","")</f>
        <v/>
      </c>
      <c r="M23" s="20" t="str">
        <f aca="false">IF(M$5=$E23,"◆","")</f>
        <v/>
      </c>
      <c r="N23" s="20" t="str">
        <f aca="false">IF(N$5=$E23,"◆","")</f>
        <v/>
      </c>
      <c r="O23" s="20" t="str">
        <f aca="false">IF(O$5=$E23,"◆","")</f>
        <v/>
      </c>
      <c r="P23" s="20" t="str">
        <f aca="false">IF(P$5=$E23,"◆","")</f>
        <v/>
      </c>
      <c r="Q23" s="20" t="str">
        <f aca="false">IF(Q$5=$E23,"◆","")</f>
        <v/>
      </c>
      <c r="R23" s="20" t="str">
        <f aca="false">IF(R$5=$E23,"◆","")</f>
        <v/>
      </c>
      <c r="S23" s="20" t="str">
        <f aca="false">IF(S$5=$E23,"◆","")</f>
        <v/>
      </c>
      <c r="T23" s="20" t="str">
        <f aca="false">IF(T$5=$E23,"◆","")</f>
        <v/>
      </c>
      <c r="U23" s="20" t="str">
        <f aca="false">IF(U$5=$E23,"◆","")</f>
        <v/>
      </c>
      <c r="V23" s="20" t="str">
        <f aca="false">IF(V$5=$E23,"◆","")</f>
        <v/>
      </c>
      <c r="W23" s="20" t="str">
        <f aca="false">IF(W$5=$E23,"◆","")</f>
        <v/>
      </c>
      <c r="X23" s="20" t="str">
        <f aca="false">IF(X$5=$E23,"◆","")</f>
        <v/>
      </c>
      <c r="Y23" s="20" t="str">
        <f aca="false">IF(Y$5=$E23,"◆","")</f>
        <v>◆</v>
      </c>
      <c r="Z23" s="20" t="str">
        <f aca="false">IF(Z$5=$E23,"◆","")</f>
        <v/>
      </c>
      <c r="AA23" s="20" t="str">
        <f aca="false">IF(AA$5=$E23,"◆","")</f>
        <v/>
      </c>
      <c r="AB23" s="20" t="str">
        <f aca="false">IF(AB$5=$E23,"◆","")</f>
        <v/>
      </c>
    </row>
    <row r="24" customFormat="false" ht="15" hidden="false" customHeight="false" outlineLevel="0" collapsed="false">
      <c r="A24" s="4" t="s">
        <v>89</v>
      </c>
      <c r="B24" s="4" t="s">
        <v>75</v>
      </c>
      <c r="C24" s="3" t="s">
        <v>90</v>
      </c>
      <c r="D24" s="4"/>
      <c r="E24" s="18" t="n">
        <v>18</v>
      </c>
      <c r="F24" s="18" t="n">
        <v>0</v>
      </c>
      <c r="G24" s="4" t="n">
        <f aca="false">E24</f>
        <v>18</v>
      </c>
      <c r="H24" s="19" t="n">
        <f aca="false">$C$3+(E24-1)*7</f>
        <v>46146</v>
      </c>
      <c r="I24" s="19" t="n">
        <f aca="false">H24</f>
        <v>46146</v>
      </c>
      <c r="J24" s="20" t="str">
        <f aca="false">IF(J$5=$E24,"◆","")</f>
        <v/>
      </c>
      <c r="K24" s="20" t="str">
        <f aca="false">IF(K$5=$E24,"◆","")</f>
        <v/>
      </c>
      <c r="L24" s="20" t="str">
        <f aca="false">IF(L$5=$E24,"◆","")</f>
        <v/>
      </c>
      <c r="M24" s="20" t="str">
        <f aca="false">IF(M$5=$E24,"◆","")</f>
        <v/>
      </c>
      <c r="N24" s="20" t="str">
        <f aca="false">IF(N$5=$E24,"◆","")</f>
        <v/>
      </c>
      <c r="O24" s="20" t="str">
        <f aca="false">IF(O$5=$E24,"◆","")</f>
        <v/>
      </c>
      <c r="P24" s="20" t="str">
        <f aca="false">IF(P$5=$E24,"◆","")</f>
        <v/>
      </c>
      <c r="Q24" s="20" t="str">
        <f aca="false">IF(Q$5=$E24,"◆","")</f>
        <v/>
      </c>
      <c r="R24" s="20" t="str">
        <f aca="false">IF(R$5=$E24,"◆","")</f>
        <v/>
      </c>
      <c r="S24" s="20" t="str">
        <f aca="false">IF(S$5=$E24,"◆","")</f>
        <v/>
      </c>
      <c r="T24" s="20" t="str">
        <f aca="false">IF(T$5=$E24,"◆","")</f>
        <v/>
      </c>
      <c r="U24" s="20" t="str">
        <f aca="false">IF(U$5=$E24,"◆","")</f>
        <v/>
      </c>
      <c r="V24" s="20" t="str">
        <f aca="false">IF(V$5=$E24,"◆","")</f>
        <v/>
      </c>
      <c r="W24" s="20" t="str">
        <f aca="false">IF(W$5=$E24,"◆","")</f>
        <v/>
      </c>
      <c r="X24" s="20" t="str">
        <f aca="false">IF(X$5=$E24,"◆","")</f>
        <v/>
      </c>
      <c r="Y24" s="20" t="str">
        <f aca="false">IF(Y$5=$E24,"◆","")</f>
        <v/>
      </c>
      <c r="Z24" s="20" t="str">
        <f aca="false">IF(Z$5=$E24,"◆","")</f>
        <v/>
      </c>
      <c r="AA24" s="20" t="str">
        <f aca="false">IF(AA$5=$E24,"◆","")</f>
        <v>◆</v>
      </c>
      <c r="AB24" s="20" t="str">
        <f aca="false">IF(AB$5=$E24,"◆","")</f>
        <v/>
      </c>
    </row>
  </sheetData>
  <conditionalFormatting sqref="J6:AB24">
    <cfRule type="cellIs" priority="2" operator="equal" aboveAverage="0" equalAverage="0" bottom="0" percent="0" rank="0" text="" dxfId="3">
      <formula>1</formula>
    </cfRule>
    <cfRule type="expression" priority="3" aboveAverage="0" equalAverage="0" bottom="0" percent="0" rank="0" text="" dxfId="4">
      <formula>J6="◆"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4"/>
    <col collapsed="false" customWidth="true" hidden="false" outlineLevel="0" max="3" min="3" style="0" width="32"/>
    <col collapsed="false" customWidth="true" hidden="false" outlineLevel="0" max="5" min="4" style="0" width="11"/>
    <col collapsed="false" customWidth="true" hidden="false" outlineLevel="0" max="6" min="6" style="0" width="50"/>
  </cols>
  <sheetData>
    <row r="1" customFormat="false" ht="17.35" hidden="false" customHeight="false" outlineLevel="0" collapsed="false">
      <c r="A1" s="1" t="s">
        <v>91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15" t="s">
        <v>92</v>
      </c>
      <c r="B4" s="15" t="s">
        <v>93</v>
      </c>
      <c r="C4" s="15" t="s">
        <v>94</v>
      </c>
      <c r="D4" s="15" t="s">
        <v>95</v>
      </c>
      <c r="E4" s="15" t="s">
        <v>96</v>
      </c>
      <c r="F4" s="15" t="s">
        <v>97</v>
      </c>
    </row>
    <row r="5" customFormat="false" ht="26.85" hidden="false" customHeight="false" outlineLevel="0" collapsed="false">
      <c r="A5" s="21" t="s">
        <v>98</v>
      </c>
      <c r="B5" s="21" t="s">
        <v>99</v>
      </c>
      <c r="C5" s="21" t="s">
        <v>100</v>
      </c>
      <c r="D5" s="21" t="s">
        <v>101</v>
      </c>
      <c r="E5" s="21" t="s">
        <v>101</v>
      </c>
      <c r="F5" s="21" t="s">
        <v>102</v>
      </c>
    </row>
    <row r="6" customFormat="false" ht="26.85" hidden="false" customHeight="false" outlineLevel="0" collapsed="false">
      <c r="A6" s="21" t="s">
        <v>103</v>
      </c>
      <c r="B6" s="21" t="s">
        <v>104</v>
      </c>
      <c r="C6" s="21" t="s">
        <v>105</v>
      </c>
      <c r="D6" s="21" t="s">
        <v>101</v>
      </c>
      <c r="E6" s="21" t="s">
        <v>101</v>
      </c>
      <c r="F6" s="21" t="s">
        <v>106</v>
      </c>
    </row>
    <row r="7" customFormat="false" ht="26.85" hidden="false" customHeight="false" outlineLevel="0" collapsed="false">
      <c r="A7" s="21" t="s">
        <v>107</v>
      </c>
      <c r="B7" s="21" t="s">
        <v>108</v>
      </c>
      <c r="C7" s="21" t="s">
        <v>109</v>
      </c>
      <c r="D7" s="21" t="s">
        <v>110</v>
      </c>
      <c r="E7" s="21" t="s">
        <v>101</v>
      </c>
      <c r="F7" s="21" t="s">
        <v>111</v>
      </c>
    </row>
    <row r="8" customFormat="false" ht="26.85" hidden="false" customHeight="false" outlineLevel="0" collapsed="false">
      <c r="A8" s="21" t="s">
        <v>112</v>
      </c>
      <c r="B8" s="21" t="s">
        <v>113</v>
      </c>
      <c r="C8" s="21" t="s">
        <v>114</v>
      </c>
      <c r="D8" s="21" t="s">
        <v>110</v>
      </c>
      <c r="E8" s="21" t="s">
        <v>101</v>
      </c>
      <c r="F8" s="21" t="s">
        <v>115</v>
      </c>
    </row>
    <row r="9" customFormat="false" ht="26.85" hidden="false" customHeight="false" outlineLevel="0" collapsed="false">
      <c r="A9" s="21" t="s">
        <v>116</v>
      </c>
      <c r="B9" s="21" t="s">
        <v>117</v>
      </c>
      <c r="C9" s="21" t="s">
        <v>118</v>
      </c>
      <c r="D9" s="21" t="s">
        <v>101</v>
      </c>
      <c r="E9" s="21" t="s">
        <v>110</v>
      </c>
      <c r="F9" s="21" t="s">
        <v>119</v>
      </c>
    </row>
    <row r="10" customFormat="false" ht="15" hidden="false" customHeight="false" outlineLevel="0" collapsed="false">
      <c r="A10" s="21" t="s">
        <v>120</v>
      </c>
      <c r="B10" s="21" t="s">
        <v>121</v>
      </c>
      <c r="C10" s="21" t="s">
        <v>122</v>
      </c>
      <c r="D10" s="21" t="s">
        <v>123</v>
      </c>
      <c r="E10" s="21" t="s">
        <v>101</v>
      </c>
      <c r="F10" s="21" t="s">
        <v>124</v>
      </c>
    </row>
    <row r="11" customFormat="false" ht="15" hidden="false" customHeight="false" outlineLevel="0" collapsed="false">
      <c r="A11" s="21" t="s">
        <v>125</v>
      </c>
      <c r="B11" s="21" t="s">
        <v>126</v>
      </c>
      <c r="C11" s="21" t="s">
        <v>127</v>
      </c>
      <c r="D11" s="21" t="s">
        <v>101</v>
      </c>
      <c r="E11" s="21" t="s">
        <v>110</v>
      </c>
      <c r="F11" s="21" t="s">
        <v>128</v>
      </c>
    </row>
    <row r="12" customFormat="false" ht="15" hidden="false" customHeight="false" outlineLevel="0" collapsed="false">
      <c r="A12" s="21" t="s">
        <v>129</v>
      </c>
      <c r="B12" s="21" t="s">
        <v>130</v>
      </c>
      <c r="C12" s="21" t="s">
        <v>131</v>
      </c>
      <c r="D12" s="21" t="s">
        <v>110</v>
      </c>
      <c r="E12" s="21" t="s">
        <v>123</v>
      </c>
      <c r="F12" s="21" t="s">
        <v>132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8" min="2" style="0" width="15"/>
  </cols>
  <sheetData>
    <row r="1" customFormat="false" ht="17.35" hidden="false" customHeight="false" outlineLevel="0" collapsed="false">
      <c r="A1" s="1" t="s">
        <v>133</v>
      </c>
    </row>
    <row r="2" customFormat="false" ht="15" hidden="false" customHeight="false" outlineLevel="0" collapsed="false">
      <c r="A2" s="2" t="s">
        <v>1</v>
      </c>
    </row>
    <row r="4" customFormat="false" ht="39.55" hidden="false" customHeight="false" outlineLevel="0" collapsed="false">
      <c r="A4" s="15" t="s">
        <v>134</v>
      </c>
      <c r="B4" s="15" t="s">
        <v>4</v>
      </c>
      <c r="C4" s="15" t="s">
        <v>135</v>
      </c>
      <c r="D4" s="15" t="s">
        <v>49</v>
      </c>
      <c r="E4" s="15" t="s">
        <v>55</v>
      </c>
      <c r="F4" s="15" t="s">
        <v>59</v>
      </c>
      <c r="G4" s="15" t="s">
        <v>136</v>
      </c>
      <c r="H4" s="15" t="s">
        <v>137</v>
      </c>
      <c r="I4" s="15" t="s">
        <v>138</v>
      </c>
    </row>
    <row r="5" customFormat="false" ht="15" hidden="false" customHeight="false" outlineLevel="0" collapsed="false">
      <c r="A5" s="21" t="s">
        <v>139</v>
      </c>
      <c r="B5" s="22" t="s">
        <v>140</v>
      </c>
      <c r="C5" s="22" t="s">
        <v>141</v>
      </c>
      <c r="D5" s="22" t="s">
        <v>142</v>
      </c>
      <c r="E5" s="22" t="s">
        <v>142</v>
      </c>
      <c r="F5" s="22" t="s">
        <v>143</v>
      </c>
      <c r="G5" s="22" t="s">
        <v>143</v>
      </c>
      <c r="H5" s="22" t="s">
        <v>143</v>
      </c>
      <c r="I5" s="4" t="n">
        <f aca="false">COUNTIF(B5:H5,"A")</f>
        <v>1</v>
      </c>
    </row>
    <row r="6" customFormat="false" ht="15" hidden="false" customHeight="false" outlineLevel="0" collapsed="false">
      <c r="A6" s="21" t="s">
        <v>144</v>
      </c>
      <c r="B6" s="22" t="s">
        <v>143</v>
      </c>
      <c r="C6" s="22" t="s">
        <v>140</v>
      </c>
      <c r="D6" s="22" t="s">
        <v>141</v>
      </c>
      <c r="E6" s="22" t="s">
        <v>142</v>
      </c>
      <c r="F6" s="22" t="s">
        <v>141</v>
      </c>
      <c r="G6" s="22" t="s">
        <v>143</v>
      </c>
      <c r="H6" s="22" t="s">
        <v>142</v>
      </c>
      <c r="I6" s="4" t="n">
        <f aca="false">COUNTIF(B6:H6,"A")</f>
        <v>1</v>
      </c>
    </row>
    <row r="7" customFormat="false" ht="15" hidden="false" customHeight="false" outlineLevel="0" collapsed="false">
      <c r="A7" s="21" t="s">
        <v>145</v>
      </c>
      <c r="B7" s="22" t="s">
        <v>143</v>
      </c>
      <c r="C7" s="22" t="s">
        <v>141</v>
      </c>
      <c r="D7" s="22" t="s">
        <v>140</v>
      </c>
      <c r="E7" s="22" t="s">
        <v>142</v>
      </c>
      <c r="F7" s="22" t="s">
        <v>142</v>
      </c>
      <c r="G7" s="22" t="s">
        <v>142</v>
      </c>
      <c r="H7" s="22" t="s">
        <v>142</v>
      </c>
      <c r="I7" s="4" t="n">
        <f aca="false">COUNTIF(B7:H7,"A")</f>
        <v>1</v>
      </c>
    </row>
    <row r="8" customFormat="false" ht="15" hidden="false" customHeight="false" outlineLevel="0" collapsed="false">
      <c r="A8" s="21" t="s">
        <v>146</v>
      </c>
      <c r="B8" s="22" t="s">
        <v>143</v>
      </c>
      <c r="C8" s="22" t="s">
        <v>142</v>
      </c>
      <c r="D8" s="22" t="s">
        <v>142</v>
      </c>
      <c r="E8" s="22" t="s">
        <v>140</v>
      </c>
      <c r="F8" s="22" t="s">
        <v>143</v>
      </c>
      <c r="G8" s="22" t="s">
        <v>141</v>
      </c>
      <c r="H8" s="22" t="s">
        <v>143</v>
      </c>
      <c r="I8" s="4" t="n">
        <f aca="false">COUNTIF(B8:H8,"A")</f>
        <v>1</v>
      </c>
    </row>
    <row r="9" customFormat="false" ht="15" hidden="false" customHeight="false" outlineLevel="0" collapsed="false">
      <c r="A9" s="21" t="s">
        <v>147</v>
      </c>
      <c r="B9" s="22" t="s">
        <v>143</v>
      </c>
      <c r="C9" s="22" t="s">
        <v>142</v>
      </c>
      <c r="D9" s="22" t="s">
        <v>142</v>
      </c>
      <c r="E9" s="22" t="s">
        <v>140</v>
      </c>
      <c r="F9" s="22" t="s">
        <v>143</v>
      </c>
      <c r="G9" s="22" t="s">
        <v>143</v>
      </c>
      <c r="H9" s="22" t="s">
        <v>142</v>
      </c>
      <c r="I9" s="4" t="n">
        <f aca="false">COUNTIF(B9:H9,"A")</f>
        <v>1</v>
      </c>
    </row>
    <row r="10" customFormat="false" ht="15" hidden="false" customHeight="false" outlineLevel="0" collapsed="false">
      <c r="A10" s="21" t="s">
        <v>148</v>
      </c>
      <c r="B10" s="22" t="s">
        <v>143</v>
      </c>
      <c r="C10" s="22" t="s">
        <v>142</v>
      </c>
      <c r="D10" s="22" t="s">
        <v>142</v>
      </c>
      <c r="E10" s="22" t="s">
        <v>143</v>
      </c>
      <c r="F10" s="22" t="s">
        <v>140</v>
      </c>
      <c r="G10" s="22" t="s">
        <v>143</v>
      </c>
      <c r="H10" s="22" t="s">
        <v>143</v>
      </c>
      <c r="I10" s="4" t="n">
        <f aca="false">COUNTIF(B10:H10,"A")</f>
        <v>1</v>
      </c>
    </row>
    <row r="11" customFormat="false" ht="15" hidden="false" customHeight="false" outlineLevel="0" collapsed="false">
      <c r="A11" s="21" t="s">
        <v>149</v>
      </c>
      <c r="B11" s="22" t="s">
        <v>140</v>
      </c>
      <c r="C11" s="22" t="s">
        <v>141</v>
      </c>
      <c r="D11" s="22" t="s">
        <v>142</v>
      </c>
      <c r="E11" s="22" t="s">
        <v>142</v>
      </c>
      <c r="F11" s="22" t="s">
        <v>143</v>
      </c>
      <c r="G11" s="22" t="s">
        <v>143</v>
      </c>
      <c r="H11" s="22" t="s">
        <v>142</v>
      </c>
      <c r="I11" s="4" t="n">
        <f aca="false">COUNTIF(B11:H11,"A")</f>
        <v>1</v>
      </c>
    </row>
    <row r="12" customFormat="false" ht="15" hidden="false" customHeight="false" outlineLevel="0" collapsed="false">
      <c r="A12" s="21" t="s">
        <v>150</v>
      </c>
      <c r="B12" s="22" t="s">
        <v>143</v>
      </c>
      <c r="C12" s="22" t="s">
        <v>140</v>
      </c>
      <c r="D12" s="22" t="s">
        <v>141</v>
      </c>
      <c r="E12" s="22" t="s">
        <v>142</v>
      </c>
      <c r="F12" s="22" t="s">
        <v>142</v>
      </c>
      <c r="G12" s="22" t="s">
        <v>143</v>
      </c>
      <c r="H12" s="22" t="s">
        <v>143</v>
      </c>
      <c r="I12" s="4" t="n">
        <f aca="false">COUNTIF(B12:H12,"A")</f>
        <v>1</v>
      </c>
    </row>
    <row r="14" customFormat="false" ht="15" hidden="false" customHeight="false" outlineLevel="0" collapsed="false">
      <c r="A14" s="23" t="s">
        <v>151</v>
      </c>
    </row>
  </sheetData>
  <conditionalFormatting sqref="B5:H12">
    <cfRule type="cellIs" priority="2" operator="equal" aboveAverage="0" equalAverage="0" bottom="0" percent="0" rank="0" text="" dxfId="9">
      <formula>"A"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7"/>
    <col collapsed="false" customWidth="true" hidden="false" outlineLevel="0" max="3" min="3" style="0" width="46"/>
    <col collapsed="false" customWidth="true" hidden="false" outlineLevel="0" max="4" min="4" style="0" width="11"/>
    <col collapsed="false" customWidth="true" hidden="false" outlineLevel="0" max="5" min="5" style="0" width="10"/>
    <col collapsed="false" customWidth="true" hidden="false" outlineLevel="0" max="6" min="6" style="0" width="8"/>
    <col collapsed="false" customWidth="true" hidden="false" outlineLevel="0" max="7" min="7" style="0" width="16"/>
    <col collapsed="false" customWidth="true" hidden="false" outlineLevel="0" max="8" min="8" style="0" width="46"/>
    <col collapsed="false" customWidth="true" hidden="false" outlineLevel="0" max="9" min="9" style="0" width="16"/>
    <col collapsed="false" customWidth="true" hidden="false" outlineLevel="0" max="10" min="10" style="0" width="9"/>
  </cols>
  <sheetData>
    <row r="1" customFormat="false" ht="17.35" hidden="false" customHeight="false" outlineLevel="0" collapsed="false">
      <c r="A1" s="1" t="s">
        <v>152</v>
      </c>
    </row>
    <row r="2" customFormat="false" ht="15" hidden="false" customHeight="false" outlineLevel="0" collapsed="false">
      <c r="A2" s="2" t="s">
        <v>1</v>
      </c>
    </row>
    <row r="4" customFormat="false" ht="39.55" hidden="false" customHeight="false" outlineLevel="0" collapsed="false">
      <c r="A4" s="15" t="s">
        <v>153</v>
      </c>
      <c r="B4" s="15" t="s">
        <v>33</v>
      </c>
      <c r="C4" s="15" t="s">
        <v>154</v>
      </c>
      <c r="D4" s="15" t="s">
        <v>155</v>
      </c>
      <c r="E4" s="15" t="s">
        <v>156</v>
      </c>
      <c r="F4" s="15" t="s">
        <v>157</v>
      </c>
      <c r="G4" s="15" t="s">
        <v>36</v>
      </c>
      <c r="H4" s="15" t="s">
        <v>158</v>
      </c>
      <c r="I4" s="15" t="s">
        <v>159</v>
      </c>
      <c r="J4" s="15" t="s">
        <v>160</v>
      </c>
    </row>
    <row r="5" customFormat="false" ht="39.55" hidden="false" customHeight="false" outlineLevel="0" collapsed="false">
      <c r="A5" s="21" t="s">
        <v>161</v>
      </c>
      <c r="B5" s="21" t="s">
        <v>162</v>
      </c>
      <c r="C5" s="21" t="s">
        <v>163</v>
      </c>
      <c r="D5" s="24" t="n">
        <v>4</v>
      </c>
      <c r="E5" s="24" t="n">
        <v>4</v>
      </c>
      <c r="F5" s="25" t="n">
        <f aca="false">IF(AND(ISNUMBER(D5),ISNUMBER(E5)),D5*E5,"")</f>
        <v>16</v>
      </c>
      <c r="G5" s="21" t="s">
        <v>59</v>
      </c>
      <c r="H5" s="21" t="s">
        <v>164</v>
      </c>
      <c r="I5" s="21" t="s">
        <v>165</v>
      </c>
      <c r="J5" s="21" t="n">
        <v>14</v>
      </c>
    </row>
    <row r="6" customFormat="false" ht="26.85" hidden="false" customHeight="false" outlineLevel="0" collapsed="false">
      <c r="A6" s="21" t="s">
        <v>161</v>
      </c>
      <c r="B6" s="21" t="s">
        <v>166</v>
      </c>
      <c r="C6" s="21" t="s">
        <v>167</v>
      </c>
      <c r="D6" s="24" t="n">
        <v>3</v>
      </c>
      <c r="E6" s="24" t="n">
        <v>4</v>
      </c>
      <c r="F6" s="25" t="n">
        <f aca="false">IF(AND(ISNUMBER(D6),ISNUMBER(E6)),D6*E6,"")</f>
        <v>12</v>
      </c>
      <c r="G6" s="21" t="s">
        <v>49</v>
      </c>
      <c r="H6" s="21" t="s">
        <v>168</v>
      </c>
      <c r="I6" s="21" t="s">
        <v>169</v>
      </c>
      <c r="J6" s="21" t="n">
        <v>6</v>
      </c>
    </row>
    <row r="7" customFormat="false" ht="26.85" hidden="false" customHeight="false" outlineLevel="0" collapsed="false">
      <c r="A7" s="21" t="s">
        <v>161</v>
      </c>
      <c r="B7" s="21" t="s">
        <v>170</v>
      </c>
      <c r="C7" s="21" t="s">
        <v>171</v>
      </c>
      <c r="D7" s="24" t="n">
        <v>3</v>
      </c>
      <c r="E7" s="24" t="n">
        <v>4</v>
      </c>
      <c r="F7" s="25" t="n">
        <f aca="false">IF(AND(ISNUMBER(D7),ISNUMBER(E7)),D7*E7,"")</f>
        <v>12</v>
      </c>
      <c r="G7" s="21" t="s">
        <v>55</v>
      </c>
      <c r="H7" s="21" t="s">
        <v>172</v>
      </c>
      <c r="I7" s="21" t="s">
        <v>165</v>
      </c>
      <c r="J7" s="21" t="n">
        <v>12</v>
      </c>
    </row>
    <row r="8" customFormat="false" ht="26.85" hidden="false" customHeight="false" outlineLevel="0" collapsed="false">
      <c r="A8" s="21" t="s">
        <v>161</v>
      </c>
      <c r="B8" s="21" t="s">
        <v>173</v>
      </c>
      <c r="C8" s="21" t="s">
        <v>174</v>
      </c>
      <c r="D8" s="24" t="n">
        <v>4</v>
      </c>
      <c r="E8" s="24" t="n">
        <v>3</v>
      </c>
      <c r="F8" s="25" t="n">
        <f aca="false">IF(AND(ISNUMBER(D8),ISNUMBER(E8)),D8*E8,"")</f>
        <v>12</v>
      </c>
      <c r="G8" s="21" t="s">
        <v>45</v>
      </c>
      <c r="H8" s="21" t="s">
        <v>175</v>
      </c>
      <c r="I8" s="21" t="s">
        <v>176</v>
      </c>
      <c r="J8" s="21" t="n">
        <v>12</v>
      </c>
    </row>
    <row r="9" customFormat="false" ht="26.85" hidden="false" customHeight="false" outlineLevel="0" collapsed="false">
      <c r="A9" s="21" t="s">
        <v>177</v>
      </c>
      <c r="B9" s="21" t="s">
        <v>178</v>
      </c>
      <c r="C9" s="21" t="s">
        <v>179</v>
      </c>
      <c r="D9" s="21"/>
      <c r="E9" s="21"/>
      <c r="F9" s="25" t="str">
        <f aca="false">IF(AND(ISNUMBER(D9),ISNUMBER(E9)),D9*E9,"")</f>
        <v/>
      </c>
      <c r="G9" s="21" t="s">
        <v>55</v>
      </c>
      <c r="H9" s="21" t="s">
        <v>180</v>
      </c>
      <c r="I9" s="21" t="s">
        <v>181</v>
      </c>
      <c r="J9" s="21" t="n">
        <v>3</v>
      </c>
    </row>
    <row r="10" customFormat="false" ht="26.85" hidden="false" customHeight="false" outlineLevel="0" collapsed="false">
      <c r="A10" s="21" t="s">
        <v>182</v>
      </c>
      <c r="B10" s="21" t="s">
        <v>183</v>
      </c>
      <c r="C10" s="21" t="s">
        <v>184</v>
      </c>
      <c r="D10" s="24" t="n">
        <v>5</v>
      </c>
      <c r="E10" s="24" t="n">
        <v>3</v>
      </c>
      <c r="F10" s="25" t="n">
        <f aca="false">IF(AND(ISNUMBER(D10),ISNUMBER(E10)),D10*E10,"")</f>
        <v>15</v>
      </c>
      <c r="G10" s="21" t="s">
        <v>45</v>
      </c>
      <c r="H10" s="21" t="s">
        <v>185</v>
      </c>
      <c r="I10" s="21" t="s">
        <v>186</v>
      </c>
      <c r="J10" s="21" t="n">
        <v>12</v>
      </c>
    </row>
    <row r="11" customFormat="false" ht="26.85" hidden="false" customHeight="false" outlineLevel="0" collapsed="false">
      <c r="A11" s="21" t="s">
        <v>187</v>
      </c>
      <c r="B11" s="21" t="s">
        <v>188</v>
      </c>
      <c r="C11" s="21" t="s">
        <v>189</v>
      </c>
      <c r="D11" s="21"/>
      <c r="E11" s="21"/>
      <c r="F11" s="25" t="str">
        <f aca="false">IF(AND(ISNUMBER(D11),ISNUMBER(E11)),D11*E11,"")</f>
        <v/>
      </c>
      <c r="G11" s="21" t="s">
        <v>136</v>
      </c>
      <c r="H11" s="21" t="s">
        <v>190</v>
      </c>
      <c r="I11" s="21" t="s">
        <v>169</v>
      </c>
      <c r="J11" s="21" t="n">
        <v>9</v>
      </c>
    </row>
    <row r="13" customFormat="false" ht="15" hidden="false" customHeight="false" outlineLevel="0" collapsed="false">
      <c r="A13" s="3" t="s">
        <v>191</v>
      </c>
      <c r="C13" s="4" t="n">
        <f aca="false">COUNTIFS(A5:A11,"Risk",F5:F11,"&gt;=15",I5:I11,"Open")</f>
        <v>1</v>
      </c>
    </row>
  </sheetData>
  <conditionalFormatting sqref="F5:F11">
    <cfRule type="expression" priority="2" aboveAverage="0" equalAverage="0" bottom="0" percent="0" rank="0" text="" dxfId="0">
      <formula>AND(ISNUMBER(F5),F5&gt;=15)</formula>
    </cfRule>
    <cfRule type="expression" priority="3" aboveAverage="0" equalAverage="0" bottom="0" percent="0" rank="0" text="" dxfId="1">
      <formula>AND(ISNUMBER(F5),F5&gt;=8,F5&lt;15)</formula>
    </cfRule>
    <cfRule type="expression" priority="4" aboveAverage="0" equalAverage="0" bottom="0" percent="0" rank="0" text="" dxfId="2">
      <formula>AND(ISNUMBER(F5),F5&lt;8)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3" min="2" style="0" width="34"/>
    <col collapsed="false" customWidth="true" hidden="false" outlineLevel="0" max="4" min="4" style="0" width="22"/>
    <col collapsed="false" customWidth="true" hidden="false" outlineLevel="0" max="6" min="5" style="0" width="20"/>
  </cols>
  <sheetData>
    <row r="1" customFormat="false" ht="17.35" hidden="false" customHeight="false" outlineLevel="0" collapsed="false">
      <c r="A1" s="1" t="s">
        <v>192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15" t="s">
        <v>193</v>
      </c>
      <c r="B4" s="15" t="s">
        <v>194</v>
      </c>
      <c r="C4" s="15" t="s">
        <v>195</v>
      </c>
      <c r="D4" s="15" t="s">
        <v>196</v>
      </c>
      <c r="E4" s="15" t="s">
        <v>36</v>
      </c>
      <c r="F4" s="15" t="s">
        <v>197</v>
      </c>
    </row>
    <row r="5" customFormat="false" ht="15" hidden="false" customHeight="false" outlineLevel="0" collapsed="false">
      <c r="A5" s="21" t="s">
        <v>198</v>
      </c>
      <c r="B5" s="21" t="s">
        <v>199</v>
      </c>
      <c r="C5" s="21" t="s">
        <v>200</v>
      </c>
      <c r="D5" s="21" t="s">
        <v>201</v>
      </c>
      <c r="E5" s="21" t="s">
        <v>45</v>
      </c>
      <c r="F5" s="21" t="s">
        <v>4</v>
      </c>
    </row>
    <row r="6" customFormat="false" ht="15" hidden="false" customHeight="false" outlineLevel="0" collapsed="false">
      <c r="A6" s="21" t="s">
        <v>202</v>
      </c>
      <c r="B6" s="21" t="s">
        <v>203</v>
      </c>
      <c r="C6" s="21" t="s">
        <v>204</v>
      </c>
      <c r="D6" s="21" t="s">
        <v>201</v>
      </c>
      <c r="E6" s="21" t="s">
        <v>55</v>
      </c>
      <c r="F6" s="21" t="s">
        <v>45</v>
      </c>
    </row>
    <row r="7" customFormat="false" ht="26.85" hidden="false" customHeight="false" outlineLevel="0" collapsed="false">
      <c r="A7" s="21" t="s">
        <v>205</v>
      </c>
      <c r="B7" s="21" t="s">
        <v>206</v>
      </c>
      <c r="C7" s="21" t="s">
        <v>207</v>
      </c>
      <c r="D7" s="21" t="s">
        <v>208</v>
      </c>
      <c r="E7" s="21" t="s">
        <v>59</v>
      </c>
      <c r="F7" s="21" t="s">
        <v>49</v>
      </c>
    </row>
    <row r="8" customFormat="false" ht="15" hidden="false" customHeight="false" outlineLevel="0" collapsed="false">
      <c r="A8" s="21" t="s">
        <v>209</v>
      </c>
      <c r="B8" s="21" t="s">
        <v>210</v>
      </c>
      <c r="C8" s="21" t="s">
        <v>211</v>
      </c>
      <c r="D8" s="21" t="s">
        <v>212</v>
      </c>
      <c r="E8" s="21" t="s">
        <v>49</v>
      </c>
      <c r="F8" s="21" t="s">
        <v>4</v>
      </c>
    </row>
    <row r="9" customFormat="false" ht="15" hidden="false" customHeight="false" outlineLevel="0" collapsed="false">
      <c r="A9" s="21" t="s">
        <v>213</v>
      </c>
      <c r="B9" s="21" t="s">
        <v>214</v>
      </c>
      <c r="C9" s="21" t="s">
        <v>215</v>
      </c>
      <c r="D9" s="21" t="s">
        <v>216</v>
      </c>
      <c r="E9" s="21" t="s">
        <v>4</v>
      </c>
      <c r="F9" s="21" t="s">
        <v>217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6"/>
    <col collapsed="false" customWidth="true" hidden="false" outlineLevel="0" max="3" min="3" style="0" width="50"/>
  </cols>
  <sheetData>
    <row r="1" customFormat="false" ht="17.35" hidden="false" customHeight="false" outlineLevel="0" collapsed="false">
      <c r="A1" s="1" t="s">
        <v>218</v>
      </c>
    </row>
    <row r="2" customFormat="false" ht="15" hidden="false" customHeight="false" outlineLevel="0" collapsed="false">
      <c r="A2" s="2" t="s">
        <v>1</v>
      </c>
    </row>
    <row r="4" customFormat="false" ht="26.85" hidden="false" customHeight="false" outlineLevel="0" collapsed="false">
      <c r="A4" s="15" t="s">
        <v>219</v>
      </c>
      <c r="B4" s="15" t="s">
        <v>220</v>
      </c>
      <c r="C4" s="15" t="s">
        <v>221</v>
      </c>
    </row>
    <row r="5" customFormat="false" ht="15" hidden="false" customHeight="false" outlineLevel="0" collapsed="false">
      <c r="A5" s="21" t="s">
        <v>222</v>
      </c>
      <c r="B5" s="26" t="n">
        <v>64000</v>
      </c>
      <c r="C5" s="21"/>
    </row>
    <row r="6" customFormat="false" ht="15" hidden="false" customHeight="false" outlineLevel="0" collapsed="false">
      <c r="A6" s="21" t="s">
        <v>223</v>
      </c>
      <c r="B6" s="26" t="n">
        <v>28000</v>
      </c>
      <c r="C6" s="21"/>
    </row>
    <row r="7" customFormat="false" ht="15" hidden="false" customHeight="false" outlineLevel="0" collapsed="false">
      <c r="A7" s="21" t="s">
        <v>224</v>
      </c>
      <c r="B7" s="26" t="n">
        <v>18000</v>
      </c>
      <c r="C7" s="21" t="s">
        <v>225</v>
      </c>
    </row>
    <row r="8" customFormat="false" ht="15" hidden="false" customHeight="false" outlineLevel="0" collapsed="false">
      <c r="A8" s="21" t="s">
        <v>226</v>
      </c>
      <c r="B8" s="26" t="n">
        <v>26000</v>
      </c>
      <c r="C8" s="21"/>
    </row>
    <row r="9" customFormat="false" ht="15" hidden="false" customHeight="false" outlineLevel="0" collapsed="false">
      <c r="A9" s="21" t="s">
        <v>227</v>
      </c>
      <c r="B9" s="26" t="n">
        <v>14000</v>
      </c>
      <c r="C9" s="21"/>
    </row>
    <row r="10" customFormat="false" ht="15" hidden="false" customHeight="false" outlineLevel="0" collapsed="false">
      <c r="A10" s="3" t="s">
        <v>228</v>
      </c>
      <c r="B10" s="27" t="n">
        <f aca="false">SUM(B5:B9)</f>
        <v>150000</v>
      </c>
    </row>
    <row r="11" customFormat="false" ht="15" hidden="false" customHeight="false" outlineLevel="0" collapsed="false">
      <c r="A11" s="4" t="s">
        <v>229</v>
      </c>
      <c r="B11" s="28" t="n">
        <f aca="false">B9/B10</f>
        <v>0.0933333333333333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6"/>
    <col collapsed="false" customWidth="true" hidden="false" outlineLevel="0" max="3" min="3" style="0" width="18"/>
    <col collapsed="false" customWidth="true" hidden="false" outlineLevel="0" max="4" min="4" style="0" width="13"/>
    <col collapsed="false" customWidth="true" hidden="false" outlineLevel="0" max="5" min="5" style="0" width="14"/>
    <col collapsed="false" customWidth="true" hidden="false" outlineLevel="0" max="6" min="6" style="0" width="10"/>
    <col collapsed="false" customWidth="true" hidden="false" outlineLevel="0" max="7" min="7" style="0" width="12"/>
    <col collapsed="false" customWidth="true" hidden="false" outlineLevel="0" max="9" min="8" style="0" width="10"/>
    <col collapsed="false" customWidth="true" hidden="false" outlineLevel="0" max="10" min="10" style="0" width="9"/>
    <col collapsed="false" customWidth="true" hidden="false" outlineLevel="0" max="13" min="11" style="0" width="10"/>
    <col collapsed="false" customWidth="true" hidden="false" outlineLevel="0" max="15" min="14" style="0" width="11"/>
  </cols>
  <sheetData>
    <row r="1" customFormat="false" ht="17.35" hidden="false" customHeight="false" outlineLevel="0" collapsed="false">
      <c r="A1" s="1" t="s">
        <v>230</v>
      </c>
    </row>
    <row r="2" customFormat="false" ht="15" hidden="false" customHeight="false" outlineLevel="0" collapsed="false">
      <c r="A2" s="2" t="s">
        <v>1</v>
      </c>
    </row>
    <row r="4" customFormat="false" ht="39.55" hidden="false" customHeight="false" outlineLevel="0" collapsed="false">
      <c r="A4" s="15" t="s">
        <v>231</v>
      </c>
      <c r="B4" s="15" t="s">
        <v>232</v>
      </c>
      <c r="C4" s="15" t="s">
        <v>233</v>
      </c>
      <c r="D4" s="15" t="s">
        <v>234</v>
      </c>
      <c r="E4" s="15" t="s">
        <v>235</v>
      </c>
      <c r="F4" s="15" t="s">
        <v>236</v>
      </c>
      <c r="G4" s="15" t="s">
        <v>28</v>
      </c>
      <c r="H4" s="15" t="s">
        <v>237</v>
      </c>
      <c r="I4" s="15" t="s">
        <v>238</v>
      </c>
      <c r="J4" s="15" t="s">
        <v>29</v>
      </c>
      <c r="K4" s="15" t="s">
        <v>239</v>
      </c>
      <c r="L4" s="15" t="s">
        <v>240</v>
      </c>
      <c r="M4" s="15" t="s">
        <v>241</v>
      </c>
      <c r="N4" s="15" t="s">
        <v>242</v>
      </c>
      <c r="O4" s="15" t="s">
        <v>30</v>
      </c>
    </row>
    <row r="5" customFormat="false" ht="15" hidden="false" customHeight="false" outlineLevel="0" collapsed="false">
      <c r="A5" s="4" t="s">
        <v>243</v>
      </c>
      <c r="B5" s="4" t="s">
        <v>244</v>
      </c>
      <c r="C5" s="4" t="s">
        <v>245</v>
      </c>
      <c r="D5" s="29" t="n">
        <v>420000</v>
      </c>
      <c r="E5" s="29" t="n">
        <v>251000</v>
      </c>
      <c r="F5" s="30" t="n">
        <v>0.62</v>
      </c>
      <c r="G5" s="18" t="n">
        <v>-3</v>
      </c>
      <c r="H5" s="18" t="n">
        <v>1</v>
      </c>
      <c r="I5" s="18" t="n">
        <v>0</v>
      </c>
      <c r="J5" s="31" t="n">
        <f aca="false">F5*D5/E5</f>
        <v>1.03745019920319</v>
      </c>
      <c r="K5" s="4" t="str">
        <f aca="false">IF(G5&gt;=-5,"Green",IF(G5&gt;=-15,"Amber","Red"))</f>
        <v>Green</v>
      </c>
      <c r="L5" s="4" t="str">
        <f aca="false">IF(J5&gt;=0.95,"Green",IF(J5&gt;=0.85,"Amber","Red"))</f>
        <v>Green</v>
      </c>
      <c r="M5" s="4" t="str">
        <f aca="false">IF(H5&lt;=1,"Green",IF(H5=2,"Amber","Red"))</f>
        <v>Green</v>
      </c>
      <c r="N5" s="4" t="str">
        <f aca="false">IF(I5=0,"Green",IF(I5&lt;1,"Amber","Red"))</f>
        <v>Green</v>
      </c>
      <c r="O5" s="3" t="str">
        <f aca="false">IF(COUNTIF(K5:N5,"Red")&gt;0,"Red",IF(COUNTIF(K5:N5,"Amber")&gt;0,"Amber","Green"))</f>
        <v>Green</v>
      </c>
    </row>
    <row r="6" customFormat="false" ht="15" hidden="false" customHeight="false" outlineLevel="0" collapsed="false">
      <c r="A6" s="4" t="s">
        <v>246</v>
      </c>
      <c r="B6" s="4" t="s">
        <v>244</v>
      </c>
      <c r="C6" s="4" t="s">
        <v>247</v>
      </c>
      <c r="D6" s="29" t="n">
        <v>610000</v>
      </c>
      <c r="E6" s="29" t="n">
        <v>455000</v>
      </c>
      <c r="F6" s="30" t="n">
        <v>0.58</v>
      </c>
      <c r="G6" s="18" t="n">
        <v>-18</v>
      </c>
      <c r="H6" s="18" t="n">
        <v>3</v>
      </c>
      <c r="I6" s="18" t="n">
        <v>1</v>
      </c>
      <c r="J6" s="31" t="n">
        <f aca="false">F6*D6/E6</f>
        <v>0.777582417582418</v>
      </c>
      <c r="K6" s="4" t="str">
        <f aca="false">IF(G6&gt;=-5,"Green",IF(G6&gt;=-15,"Amber","Red"))</f>
        <v>Red</v>
      </c>
      <c r="L6" s="4" t="str">
        <f aca="false">IF(J6&gt;=0.95,"Green",IF(J6&gt;=0.85,"Amber","Red"))</f>
        <v>Red</v>
      </c>
      <c r="M6" s="4" t="str">
        <f aca="false">IF(H6&lt;=1,"Green",IF(H6=2,"Amber","Red"))</f>
        <v>Red</v>
      </c>
      <c r="N6" s="4" t="str">
        <f aca="false">IF(I6=0,"Green",IF(I6&lt;1,"Amber","Red"))</f>
        <v>Red</v>
      </c>
      <c r="O6" s="3" t="str">
        <f aca="false">IF(COUNTIF(K6:N6,"Red")&gt;0,"Red",IF(COUNTIF(K6:N6,"Amber")&gt;0,"Amber","Green"))</f>
        <v>Red</v>
      </c>
    </row>
    <row r="7" customFormat="false" ht="15" hidden="false" customHeight="false" outlineLevel="0" collapsed="false">
      <c r="A7" s="4" t="s">
        <v>248</v>
      </c>
      <c r="B7" s="4" t="s">
        <v>249</v>
      </c>
      <c r="C7" s="4" t="s">
        <v>250</v>
      </c>
      <c r="D7" s="29" t="n">
        <v>180000</v>
      </c>
      <c r="E7" s="29" t="n">
        <v>92000</v>
      </c>
      <c r="F7" s="30" t="n">
        <v>0.5</v>
      </c>
      <c r="G7" s="18" t="n">
        <v>0</v>
      </c>
      <c r="H7" s="18" t="n">
        <v>0</v>
      </c>
      <c r="I7" s="18" t="n">
        <v>0</v>
      </c>
      <c r="J7" s="31" t="n">
        <f aca="false">F7*D7/E7</f>
        <v>0.978260869565217</v>
      </c>
      <c r="K7" s="4" t="str">
        <f aca="false">IF(G7&gt;=-5,"Green",IF(G7&gt;=-15,"Amber","Red"))</f>
        <v>Green</v>
      </c>
      <c r="L7" s="4" t="str">
        <f aca="false">IF(J7&gt;=0.95,"Green",IF(J7&gt;=0.85,"Amber","Red"))</f>
        <v>Green</v>
      </c>
      <c r="M7" s="4" t="str">
        <f aca="false">IF(H7&lt;=1,"Green",IF(H7=2,"Amber","Red"))</f>
        <v>Green</v>
      </c>
      <c r="N7" s="4" t="str">
        <f aca="false">IF(I7=0,"Green",IF(I7&lt;1,"Amber","Red"))</f>
        <v>Green</v>
      </c>
      <c r="O7" s="3" t="str">
        <f aca="false">IF(COUNTIF(K7:N7,"Red")&gt;0,"Red",IF(COUNTIF(K7:N7,"Amber")&gt;0,"Amber","Green"))</f>
        <v>Green</v>
      </c>
    </row>
    <row r="8" customFormat="false" ht="15" hidden="false" customHeight="false" outlineLevel="0" collapsed="false">
      <c r="A8" s="4" t="s">
        <v>251</v>
      </c>
      <c r="B8" s="4" t="s">
        <v>252</v>
      </c>
      <c r="C8" s="4" t="s">
        <v>253</v>
      </c>
      <c r="D8" s="29" t="n">
        <v>350000</v>
      </c>
      <c r="E8" s="29" t="n">
        <v>236000</v>
      </c>
      <c r="F8" s="30" t="n">
        <v>0.61</v>
      </c>
      <c r="G8" s="18" t="n">
        <v>-9</v>
      </c>
      <c r="H8" s="18" t="n">
        <v>2</v>
      </c>
      <c r="I8" s="18" t="n">
        <v>0.5</v>
      </c>
      <c r="J8" s="31" t="n">
        <f aca="false">F8*D8/E8</f>
        <v>0.904661016949153</v>
      </c>
      <c r="K8" s="4" t="str">
        <f aca="false">IF(G8&gt;=-5,"Green",IF(G8&gt;=-15,"Amber","Red"))</f>
        <v>Amber</v>
      </c>
      <c r="L8" s="4" t="str">
        <f aca="false">IF(J8&gt;=0.95,"Green",IF(J8&gt;=0.85,"Amber","Red"))</f>
        <v>Amber</v>
      </c>
      <c r="M8" s="4" t="str">
        <f aca="false">IF(H8&lt;=1,"Green",IF(H8=2,"Amber","Red"))</f>
        <v>Amber</v>
      </c>
      <c r="N8" s="4" t="str">
        <f aca="false">IF(I8=0,"Green",IF(I8&lt;1,"Amber","Red"))</f>
        <v>Amber</v>
      </c>
      <c r="O8" s="3" t="str">
        <f aca="false">IF(COUNTIF(K8:N8,"Red")&gt;0,"Red",IF(COUNTIF(K8:N8,"Amber")&gt;0,"Amber","Green"))</f>
        <v>Amber</v>
      </c>
    </row>
    <row r="9" customFormat="false" ht="15" hidden="false" customHeight="false" outlineLevel="0" collapsed="false">
      <c r="A9" s="4" t="s">
        <v>254</v>
      </c>
      <c r="B9" s="4" t="s">
        <v>252</v>
      </c>
      <c r="C9" s="4" t="s">
        <v>255</v>
      </c>
      <c r="D9" s="29" t="n">
        <v>270000</v>
      </c>
      <c r="E9" s="29" t="n">
        <v>121000</v>
      </c>
      <c r="F9" s="30" t="n">
        <v>0.47</v>
      </c>
      <c r="G9" s="18" t="n">
        <v>2</v>
      </c>
      <c r="H9" s="18" t="n">
        <v>0</v>
      </c>
      <c r="I9" s="18" t="n">
        <v>0</v>
      </c>
      <c r="J9" s="31" t="n">
        <f aca="false">F9*D9/E9</f>
        <v>1.04876033057851</v>
      </c>
      <c r="K9" s="4" t="str">
        <f aca="false">IF(G9&gt;=-5,"Green",IF(G9&gt;=-15,"Amber","Red"))</f>
        <v>Green</v>
      </c>
      <c r="L9" s="4" t="str">
        <f aca="false">IF(J9&gt;=0.95,"Green",IF(J9&gt;=0.85,"Amber","Red"))</f>
        <v>Green</v>
      </c>
      <c r="M9" s="4" t="str">
        <f aca="false">IF(H9&lt;=1,"Green",IF(H9=2,"Amber","Red"))</f>
        <v>Green</v>
      </c>
      <c r="N9" s="4" t="str">
        <f aca="false">IF(I9=0,"Green",IF(I9&lt;1,"Amber","Red"))</f>
        <v>Green</v>
      </c>
      <c r="O9" s="3" t="str">
        <f aca="false">IF(COUNTIF(K9:N9,"Red")&gt;0,"Red",IF(COUNTIF(K9:N9,"Amber")&gt;0,"Amber","Green"))</f>
        <v>Green</v>
      </c>
    </row>
    <row r="10" customFormat="false" ht="15" hidden="false" customHeight="false" outlineLevel="0" collapsed="false">
      <c r="A10" s="4" t="s">
        <v>256</v>
      </c>
      <c r="B10" s="4" t="s">
        <v>257</v>
      </c>
      <c r="C10" s="4" t="s">
        <v>245</v>
      </c>
      <c r="D10" s="29" t="n">
        <v>150000</v>
      </c>
      <c r="E10" s="29" t="n">
        <v>92000</v>
      </c>
      <c r="F10" s="30" t="n">
        <v>0.55</v>
      </c>
      <c r="G10" s="18" t="n">
        <v>-6</v>
      </c>
      <c r="H10" s="18" t="n">
        <v>1</v>
      </c>
      <c r="I10" s="18" t="n">
        <v>0.5</v>
      </c>
      <c r="J10" s="31" t="n">
        <f aca="false">F10*D10/E10</f>
        <v>0.896739130434783</v>
      </c>
      <c r="K10" s="4" t="str">
        <f aca="false">IF(G10&gt;=-5,"Green",IF(G10&gt;=-15,"Amber","Red"))</f>
        <v>Amber</v>
      </c>
      <c r="L10" s="4" t="str">
        <f aca="false">IF(J10&gt;=0.95,"Green",IF(J10&gt;=0.85,"Amber","Red"))</f>
        <v>Amber</v>
      </c>
      <c r="M10" s="4" t="str">
        <f aca="false">IF(H10&lt;=1,"Green",IF(H10=2,"Amber","Red"))</f>
        <v>Green</v>
      </c>
      <c r="N10" s="4" t="str">
        <f aca="false">IF(I10=0,"Green",IF(I10&lt;1,"Amber","Red"))</f>
        <v>Amber</v>
      </c>
      <c r="O10" s="3" t="str">
        <f aca="false">IF(COUNTIF(K10:N10,"Red")&gt;0,"Red",IF(COUNTIF(K10:N10,"Amber")&gt;0,"Amber","Green"))</f>
        <v>Amber</v>
      </c>
    </row>
    <row r="11" customFormat="false" ht="15" hidden="false" customHeight="false" outlineLevel="0" collapsed="false">
      <c r="A11" s="4" t="s">
        <v>258</v>
      </c>
      <c r="B11" s="4" t="s">
        <v>161</v>
      </c>
      <c r="C11" s="4" t="s">
        <v>259</v>
      </c>
      <c r="D11" s="29" t="n">
        <v>520000</v>
      </c>
      <c r="E11" s="29" t="n">
        <v>200000</v>
      </c>
      <c r="F11" s="30" t="n">
        <v>0.38</v>
      </c>
      <c r="G11" s="18" t="n">
        <v>-2</v>
      </c>
      <c r="H11" s="18" t="n">
        <v>1</v>
      </c>
      <c r="I11" s="18" t="n">
        <v>0</v>
      </c>
      <c r="J11" s="31" t="n">
        <f aca="false">F11*D11/E11</f>
        <v>0.988</v>
      </c>
      <c r="K11" s="4" t="str">
        <f aca="false">IF(G11&gt;=-5,"Green",IF(G11&gt;=-15,"Amber","Red"))</f>
        <v>Green</v>
      </c>
      <c r="L11" s="4" t="str">
        <f aca="false">IF(J11&gt;=0.95,"Green",IF(J11&gt;=0.85,"Amber","Red"))</f>
        <v>Green</v>
      </c>
      <c r="M11" s="4" t="str">
        <f aca="false">IF(H11&lt;=1,"Green",IF(H11=2,"Amber","Red"))</f>
        <v>Green</v>
      </c>
      <c r="N11" s="4" t="str">
        <f aca="false">IF(I11=0,"Green",IF(I11&lt;1,"Amber","Red"))</f>
        <v>Green</v>
      </c>
      <c r="O11" s="3" t="str">
        <f aca="false">IF(COUNTIF(K11:N11,"Red")&gt;0,"Red",IF(COUNTIF(K11:N11,"Amber")&gt;0,"Amber","Green"))</f>
        <v>Green</v>
      </c>
    </row>
    <row r="12" customFormat="false" ht="15" hidden="false" customHeight="false" outlineLevel="0" collapsed="false">
      <c r="A12" s="4" t="s">
        <v>260</v>
      </c>
      <c r="B12" s="4" t="s">
        <v>244</v>
      </c>
      <c r="C12" s="4" t="s">
        <v>261</v>
      </c>
      <c r="D12" s="29" t="n">
        <v>300000</v>
      </c>
      <c r="E12" s="29" t="n">
        <v>289000</v>
      </c>
      <c r="F12" s="30" t="n">
        <v>0.72</v>
      </c>
      <c r="G12" s="18" t="n">
        <v>-12</v>
      </c>
      <c r="H12" s="18" t="n">
        <v>2</v>
      </c>
      <c r="I12" s="18" t="n">
        <v>0</v>
      </c>
      <c r="J12" s="31" t="n">
        <f aca="false">F12*D12/E12</f>
        <v>0.747404844290658</v>
      </c>
      <c r="K12" s="4" t="str">
        <f aca="false">IF(G12&gt;=-5,"Green",IF(G12&gt;=-15,"Amber","Red"))</f>
        <v>Amber</v>
      </c>
      <c r="L12" s="4" t="str">
        <f aca="false">IF(J12&gt;=0.95,"Green",IF(J12&gt;=0.85,"Amber","Red"))</f>
        <v>Red</v>
      </c>
      <c r="M12" s="4" t="str">
        <f aca="false">IF(H12&lt;=1,"Green",IF(H12=2,"Amber","Red"))</f>
        <v>Amber</v>
      </c>
      <c r="N12" s="4" t="str">
        <f aca="false">IF(I12=0,"Green",IF(I12&lt;1,"Amber","Red"))</f>
        <v>Green</v>
      </c>
      <c r="O12" s="3" t="str">
        <f aca="false">IF(COUNTIF(K12:N12,"Red")&gt;0,"Red",IF(COUNTIF(K12:N12,"Amber")&gt;0,"Amber","Green"))</f>
        <v>Red</v>
      </c>
    </row>
    <row r="13" customFormat="false" ht="15" hidden="false" customHeight="false" outlineLevel="0" collapsed="false">
      <c r="A13" s="4" t="s">
        <v>262</v>
      </c>
      <c r="B13" s="4" t="s">
        <v>263</v>
      </c>
      <c r="C13" s="4" t="s">
        <v>247</v>
      </c>
      <c r="D13" s="29" t="n">
        <v>460000</v>
      </c>
      <c r="E13" s="29" t="n">
        <v>205000</v>
      </c>
      <c r="F13" s="30" t="n">
        <v>0.46</v>
      </c>
      <c r="G13" s="18" t="n">
        <v>-4</v>
      </c>
      <c r="H13" s="18" t="n">
        <v>1</v>
      </c>
      <c r="I13" s="18" t="n">
        <v>0.5</v>
      </c>
      <c r="J13" s="31" t="n">
        <f aca="false">F13*D13/E13</f>
        <v>1.03219512195122</v>
      </c>
      <c r="K13" s="4" t="str">
        <f aca="false">IF(G13&gt;=-5,"Green",IF(G13&gt;=-15,"Amber","Red"))</f>
        <v>Green</v>
      </c>
      <c r="L13" s="4" t="str">
        <f aca="false">IF(J13&gt;=0.95,"Green",IF(J13&gt;=0.85,"Amber","Red"))</f>
        <v>Green</v>
      </c>
      <c r="M13" s="4" t="str">
        <f aca="false">IF(H13&lt;=1,"Green",IF(H13=2,"Amber","Red"))</f>
        <v>Green</v>
      </c>
      <c r="N13" s="4" t="str">
        <f aca="false">IF(I13=0,"Green",IF(I13&lt;1,"Amber","Red"))</f>
        <v>Amber</v>
      </c>
      <c r="O13" s="3" t="str">
        <f aca="false">IF(COUNTIF(K13:N13,"Red")&gt;0,"Red",IF(COUNTIF(K13:N13,"Amber")&gt;0,"Amber","Green"))</f>
        <v>Amber</v>
      </c>
    </row>
    <row r="14" customFormat="false" ht="15" hidden="false" customHeight="false" outlineLevel="0" collapsed="false">
      <c r="A14" s="4" t="s">
        <v>264</v>
      </c>
      <c r="B14" s="4" t="s">
        <v>263</v>
      </c>
      <c r="C14" s="4" t="s">
        <v>265</v>
      </c>
      <c r="D14" s="29" t="n">
        <v>380000</v>
      </c>
      <c r="E14" s="29" t="n">
        <v>140000</v>
      </c>
      <c r="F14" s="30" t="n">
        <v>0.39</v>
      </c>
      <c r="G14" s="18" t="n">
        <v>1</v>
      </c>
      <c r="H14" s="18" t="n">
        <v>0</v>
      </c>
      <c r="I14" s="18" t="n">
        <v>0</v>
      </c>
      <c r="J14" s="31" t="n">
        <f aca="false">F14*D14/E14</f>
        <v>1.05857142857143</v>
      </c>
      <c r="K14" s="4" t="str">
        <f aca="false">IF(G14&gt;=-5,"Green",IF(G14&gt;=-15,"Amber","Red"))</f>
        <v>Green</v>
      </c>
      <c r="L14" s="4" t="str">
        <f aca="false">IF(J14&gt;=0.95,"Green",IF(J14&gt;=0.85,"Amber","Red"))</f>
        <v>Green</v>
      </c>
      <c r="M14" s="4" t="str">
        <f aca="false">IF(H14&lt;=1,"Green",IF(H14=2,"Amber","Red"))</f>
        <v>Green</v>
      </c>
      <c r="N14" s="4" t="str">
        <f aca="false">IF(I14=0,"Green",IF(I14&lt;1,"Amber","Red"))</f>
        <v>Green</v>
      </c>
      <c r="O14" s="3" t="str">
        <f aca="false">IF(COUNTIF(K14:N14,"Red")&gt;0,"Red",IF(COUNTIF(K14:N14,"Amber")&gt;0,"Amber","Green"))</f>
        <v>Green</v>
      </c>
    </row>
    <row r="15" customFormat="false" ht="15" hidden="false" customHeight="false" outlineLevel="0" collapsed="false">
      <c r="A15" s="4" t="s">
        <v>266</v>
      </c>
      <c r="B15" s="4" t="s">
        <v>249</v>
      </c>
      <c r="C15" s="4" t="s">
        <v>253</v>
      </c>
      <c r="D15" s="29" t="n">
        <v>210000</v>
      </c>
      <c r="E15" s="29" t="n">
        <v>160000</v>
      </c>
      <c r="F15" s="30" t="n">
        <v>0.79</v>
      </c>
      <c r="G15" s="18" t="n">
        <v>-1</v>
      </c>
      <c r="H15" s="18" t="n">
        <v>0</v>
      </c>
      <c r="I15" s="18" t="n">
        <v>0</v>
      </c>
      <c r="J15" s="31" t="n">
        <f aca="false">F15*D15/E15</f>
        <v>1.036875</v>
      </c>
      <c r="K15" s="4" t="str">
        <f aca="false">IF(G15&gt;=-5,"Green",IF(G15&gt;=-15,"Amber","Red"))</f>
        <v>Green</v>
      </c>
      <c r="L15" s="4" t="str">
        <f aca="false">IF(J15&gt;=0.95,"Green",IF(J15&gt;=0.85,"Amber","Red"))</f>
        <v>Green</v>
      </c>
      <c r="M15" s="4" t="str">
        <f aca="false">IF(H15&lt;=1,"Green",IF(H15=2,"Amber","Red"))</f>
        <v>Green</v>
      </c>
      <c r="N15" s="4" t="str">
        <f aca="false">IF(I15=0,"Green",IF(I15&lt;1,"Amber","Red"))</f>
        <v>Green</v>
      </c>
      <c r="O15" s="3" t="str">
        <f aca="false">IF(COUNTIF(K15:N15,"Red")&gt;0,"Red",IF(COUNTIF(K15:N15,"Amber")&gt;0,"Amber","Green"))</f>
        <v>Green</v>
      </c>
    </row>
    <row r="16" customFormat="false" ht="15" hidden="false" customHeight="false" outlineLevel="0" collapsed="false">
      <c r="A16" s="4" t="s">
        <v>267</v>
      </c>
      <c r="B16" s="4" t="s">
        <v>257</v>
      </c>
      <c r="C16" s="4" t="s">
        <v>250</v>
      </c>
      <c r="D16" s="29" t="n">
        <v>190000</v>
      </c>
      <c r="E16" s="29" t="n">
        <v>70000</v>
      </c>
      <c r="F16" s="30" t="n">
        <v>0.33</v>
      </c>
      <c r="G16" s="18" t="n">
        <v>-8</v>
      </c>
      <c r="H16" s="18" t="n">
        <v>1</v>
      </c>
      <c r="I16" s="18" t="n">
        <v>0</v>
      </c>
      <c r="J16" s="31" t="n">
        <f aca="false">F16*D16/E16</f>
        <v>0.895714285714286</v>
      </c>
      <c r="K16" s="4" t="str">
        <f aca="false">IF(G16&gt;=-5,"Green",IF(G16&gt;=-15,"Amber","Red"))</f>
        <v>Amber</v>
      </c>
      <c r="L16" s="4" t="str">
        <f aca="false">IF(J16&gt;=0.95,"Green",IF(J16&gt;=0.85,"Amber","Red"))</f>
        <v>Amber</v>
      </c>
      <c r="M16" s="4" t="str">
        <f aca="false">IF(H16&lt;=1,"Green",IF(H16=2,"Amber","Red"))</f>
        <v>Green</v>
      </c>
      <c r="N16" s="4" t="str">
        <f aca="false">IF(I16=0,"Green",IF(I16&lt;1,"Amber","Red"))</f>
        <v>Green</v>
      </c>
      <c r="O16" s="3" t="str">
        <f aca="false">IF(COUNTIF(K16:N16,"Red")&gt;0,"Red",IF(COUNTIF(K16:N16,"Amber")&gt;0,"Amber","Green"))</f>
        <v>Amber</v>
      </c>
    </row>
  </sheetData>
  <conditionalFormatting sqref="K5:O16">
    <cfRule type="cellIs" priority="2" operator="equal" aboveAverage="0" equalAverage="0" bottom="0" percent="0" rank="0" text="" dxfId="0">
      <formula>"Red"</formula>
    </cfRule>
    <cfRule type="cellIs" priority="3" operator="equal" aboveAverage="0" equalAverage="0" bottom="0" percent="0" rank="0" text="" dxfId="1">
      <formula>"Amber"</formula>
    </cfRule>
    <cfRule type="cellIs" priority="4" operator="equal" aboveAverage="0" equalAverage="0" bottom="0" percent="0" rank="0" text="" dxfId="2">
      <formula>"Green"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3" min="2" style="0" width="14"/>
    <col collapsed="false" customWidth="true" hidden="false" outlineLevel="0" max="4" min="4" style="0" width="16"/>
  </cols>
  <sheetData>
    <row r="1" customFormat="false" ht="17.35" hidden="false" customHeight="false" outlineLevel="0" collapsed="false">
      <c r="A1" s="1" t="s">
        <v>268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15" t="s">
        <v>269</v>
      </c>
      <c r="B4" s="15" t="s">
        <v>24</v>
      </c>
      <c r="C4" s="15" t="s">
        <v>23</v>
      </c>
      <c r="D4" s="15" t="s">
        <v>22</v>
      </c>
    </row>
    <row r="5" customFormat="false" ht="15" hidden="false" customHeight="false" outlineLevel="0" collapsed="false">
      <c r="A5" s="4" t="s">
        <v>28</v>
      </c>
      <c r="B5" s="4" t="s">
        <v>270</v>
      </c>
      <c r="C5" s="4" t="s">
        <v>271</v>
      </c>
      <c r="D5" s="4" t="s">
        <v>272</v>
      </c>
    </row>
    <row r="6" customFormat="false" ht="15" hidden="false" customHeight="false" outlineLevel="0" collapsed="false">
      <c r="A6" s="4" t="s">
        <v>29</v>
      </c>
      <c r="B6" s="4" t="s">
        <v>273</v>
      </c>
      <c r="C6" s="4" t="s">
        <v>274</v>
      </c>
      <c r="D6" s="4" t="s">
        <v>275</v>
      </c>
    </row>
    <row r="7" customFormat="false" ht="15" hidden="false" customHeight="false" outlineLevel="0" collapsed="false">
      <c r="A7" s="4" t="s">
        <v>237</v>
      </c>
      <c r="B7" s="4" t="s">
        <v>276</v>
      </c>
      <c r="C7" s="4" t="s">
        <v>46</v>
      </c>
      <c r="D7" s="4" t="s">
        <v>277</v>
      </c>
    </row>
    <row r="8" customFormat="false" ht="15" hidden="false" customHeight="false" outlineLevel="0" collapsed="false">
      <c r="A8" s="4" t="s">
        <v>238</v>
      </c>
      <c r="B8" s="4" t="s">
        <v>278</v>
      </c>
      <c r="C8" s="4" t="s">
        <v>279</v>
      </c>
      <c r="D8" s="4" t="s">
        <v>280</v>
      </c>
    </row>
    <row r="10" customFormat="false" ht="15" hidden="false" customHeight="false" outlineLevel="0" collapsed="false">
      <c r="A10" s="23" t="s">
        <v>281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16"/>
    <col collapsed="false" customWidth="true" hidden="false" outlineLevel="0" max="3" min="3" style="0" width="10"/>
    <col collapsed="false" customWidth="true" hidden="false" outlineLevel="0" max="4" min="4" style="0" width="20"/>
    <col collapsed="false" customWidth="true" hidden="false" outlineLevel="0" max="5" min="5" style="0" width="32"/>
    <col collapsed="false" customWidth="true" hidden="false" outlineLevel="0" max="6" min="6" style="0" width="16"/>
  </cols>
  <sheetData>
    <row r="1" customFormat="false" ht="17.35" hidden="false" customHeight="false" outlineLevel="0" collapsed="false">
      <c r="A1" s="1" t="s">
        <v>282</v>
      </c>
    </row>
    <row r="2" customFormat="false" ht="15" hidden="false" customHeight="false" outlineLevel="0" collapsed="false">
      <c r="A2" s="2" t="s">
        <v>1</v>
      </c>
    </row>
    <row r="4" customFormat="false" ht="26.85" hidden="false" customHeight="false" outlineLevel="0" collapsed="false">
      <c r="A4" s="15" t="s">
        <v>283</v>
      </c>
      <c r="B4" s="15" t="s">
        <v>284</v>
      </c>
      <c r="C4" s="15" t="s">
        <v>285</v>
      </c>
      <c r="D4" s="15" t="s">
        <v>286</v>
      </c>
      <c r="E4" s="15" t="s">
        <v>287</v>
      </c>
      <c r="F4" s="15" t="s">
        <v>36</v>
      </c>
    </row>
    <row r="5" customFormat="false" ht="26.85" hidden="false" customHeight="false" outlineLevel="0" collapsed="false">
      <c r="A5" s="21" t="s">
        <v>288</v>
      </c>
      <c r="B5" s="21" t="s">
        <v>289</v>
      </c>
      <c r="C5" s="21" t="s">
        <v>290</v>
      </c>
      <c r="D5" s="21" t="s">
        <v>291</v>
      </c>
      <c r="E5" s="21" t="s">
        <v>292</v>
      </c>
      <c r="F5" s="21" t="s">
        <v>59</v>
      </c>
    </row>
    <row r="6" customFormat="false" ht="26.85" hidden="false" customHeight="false" outlineLevel="0" collapsed="false">
      <c r="A6" s="21" t="s">
        <v>293</v>
      </c>
      <c r="B6" s="21" t="s">
        <v>294</v>
      </c>
      <c r="C6" s="21" t="s">
        <v>295</v>
      </c>
      <c r="D6" s="21" t="s">
        <v>296</v>
      </c>
      <c r="E6" s="21" t="s">
        <v>297</v>
      </c>
      <c r="F6" s="21" t="s">
        <v>49</v>
      </c>
    </row>
    <row r="7" customFormat="false" ht="15" hidden="false" customHeight="false" outlineLevel="0" collapsed="false">
      <c r="A7" s="21" t="s">
        <v>298</v>
      </c>
      <c r="B7" s="21" t="s">
        <v>299</v>
      </c>
      <c r="C7" s="21" t="s">
        <v>300</v>
      </c>
      <c r="D7" s="21" t="s">
        <v>301</v>
      </c>
      <c r="E7" s="21" t="s">
        <v>302</v>
      </c>
      <c r="F7" s="21" t="s">
        <v>55</v>
      </c>
    </row>
    <row r="8" customFormat="false" ht="26.85" hidden="false" customHeight="false" outlineLevel="0" collapsed="false">
      <c r="A8" s="21" t="s">
        <v>303</v>
      </c>
      <c r="B8" s="21" t="s">
        <v>304</v>
      </c>
      <c r="C8" s="21" t="s">
        <v>305</v>
      </c>
      <c r="D8" s="21" t="s">
        <v>306</v>
      </c>
      <c r="E8" s="21" t="s">
        <v>307</v>
      </c>
      <c r="F8" s="21" t="s">
        <v>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2026-10-13T19:38:29Z</dcterms:created>
  <dc:creator>openpyxl</dc:creator>
  <dc:description/>
  <dc:language>en-US</dc:language>
  <cp:lastModifiedBy/>
  <dcterms:modified xsi:type="dcterms:W3CDTF">2026-10-13T13:38:45Z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