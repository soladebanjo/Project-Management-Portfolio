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VM Dashboard" sheetId="2" state="visible" r:id="rId4"/>
    <sheet name="Gantt" sheetId="3" state="visible" r:id="rId5"/>
    <sheet name="Stakeholders" sheetId="4" state="visible" r:id="rId6"/>
    <sheet name="RACI" sheetId="5" state="visible" r:id="rId7"/>
    <sheet name="RAID Log" sheetId="6" state="visible" r:id="rId8"/>
    <sheet name="Comms Plan" sheetId="7" state="visible" r:id="rId9"/>
    <sheet name="Budget" sheetId="8" state="visible" r:id="rId10"/>
    <sheet name="Contractor Track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<sst xmlns="http://schemas.openxmlformats.org/spreadsheetml/2006/main" count="473" uniqueCount="312">
  <si>
    <t xml:space="preserve">Construction Cost Control Recovery – PM Workbook</t>
  </si>
  <si>
    <t xml:space="preserve">Simulated project – organisation, people and figures are fictional (PM Project Lab practice brief).</t>
  </si>
  <si>
    <t xml:space="preserve">Organisation</t>
  </si>
  <si>
    <t xml:space="preserve">Lakeline Developments (fictional) – mid-sized property company; 6-storey, 96-unit residential building in Edmonton, AB</t>
  </si>
  <si>
    <t xml:space="preserve">Sponsor</t>
  </si>
  <si>
    <t xml:space="preserve">Fatima Sule, Development Director</t>
  </si>
  <si>
    <t xml:space="preserve">Project Manager</t>
  </si>
  <si>
    <t xml:space="preserve">Sola Debanjo, PMP</t>
  </si>
  <si>
    <t xml:space="preserve">Approach</t>
  </si>
  <si>
    <t xml:space="preserve">Hybrid (Waterfall construction schedule + 2-week Agile sprints to build cost controls)</t>
  </si>
  <si>
    <t xml:space="preserve">Duration (weeks)</t>
  </si>
  <si>
    <t xml:space="preserve">Budget (assumed)</t>
  </si>
  <si>
    <t xml:space="preserve">CAD $650,000 for the recovery programme (assumed); controls a $38M construction budget</t>
  </si>
  <si>
    <t xml:space="preserve">How to use this workbook</t>
  </si>
  <si>
    <t xml:space="preserve">• Blue text on a yellow background = an input you can change (e.g., project start date, status week, actuals).</t>
  </si>
  <si>
    <t xml:space="preserve">• Black text = formulas. They recalculate automatically when inputs change.</t>
  </si>
  <si>
    <t xml:space="preserve">• Gantt: change the project start date or a task's start week/duration and the bars and dates move.</t>
  </si>
  <si>
    <t xml:space="preserve">• RAID: Score = Probability × Impact; colour turns red at 15+, amber at 8–14.</t>
  </si>
  <si>
    <t xml:space="preserve">• The schedule is also provided as a Microsoft Project XML file (opens in MS Project or the free ProjectLibre).</t>
  </si>
  <si>
    <t xml:space="preserve">Construction Cost Control Recovery – earned value (remaining scope)</t>
  </si>
  <si>
    <t xml:space="preserve">Simulated data – built in Excel</t>
  </si>
  <si>
    <t xml:space="preserve">Budget at completion – remaining scope (BAC)</t>
  </si>
  <si>
    <t xml:space="preserve">Week</t>
  </si>
  <si>
    <t xml:space="preserve">PV ($M)</t>
  </si>
  <si>
    <t xml:space="preserve">EV ($M)</t>
  </si>
  <si>
    <t xml:space="preserve">AC ($M)</t>
  </si>
  <si>
    <t xml:space="preserve">Spent before recovery started</t>
  </si>
  <si>
    <t xml:space="preserve">Original total budget</t>
  </si>
  <si>
    <t xml:space="preserve">Status week</t>
  </si>
  <si>
    <t xml:space="preserve">Planned Value (PV)</t>
  </si>
  <si>
    <t xml:space="preserve">Earned Value (EV)</t>
  </si>
  <si>
    <t xml:space="preserve">Actual Cost (AC)</t>
  </si>
  <si>
    <t xml:space="preserve">Cost Variance (CV = EV − AC)</t>
  </si>
  <si>
    <t xml:space="preserve">Schedule Variance (SV = EV − PV)</t>
  </si>
  <si>
    <t xml:space="preserve">CPI (EV ÷ AC)</t>
  </si>
  <si>
    <t xml:space="preserve">SPI (EV ÷ PV)</t>
  </si>
  <si>
    <t xml:space="preserve">EAC – remaining scope (BAC ÷ CPI)</t>
  </si>
  <si>
    <t xml:space="preserve">Forecast final cost</t>
  </si>
  <si>
    <t xml:space="preserve">Variance vs original budget</t>
  </si>
  <si>
    <t xml:space="preserve">Target: CPI ≥ 0.97 by Month 6; forecast final cost within +3% of original budget.</t>
  </si>
  <si>
    <t xml:space="preserve">CPI target met?</t>
  </si>
  <si>
    <t xml:space="preserve">Cost target met?</t>
  </si>
  <si>
    <t xml:space="preserve">Gantt Schedule</t>
  </si>
  <si>
    <t xml:space="preserve">Start date (Week 1):</t>
  </si>
  <si>
    <t xml:space="preserve">ID</t>
  </si>
  <si>
    <t xml:space="preserve">Phase</t>
  </si>
  <si>
    <t xml:space="preserve">Work package / milestone</t>
  </si>
  <si>
    <t xml:space="preserve">Owner</t>
  </si>
  <si>
    <t xml:space="preserve">Start wk</t>
  </si>
  <si>
    <t xml:space="preserve">Duration (wks)</t>
  </si>
  <si>
    <t xml:space="preserve">End wk</t>
  </si>
  <si>
    <t xml:space="preserve">Start date</t>
  </si>
  <si>
    <t xml:space="preserve">Finish date</t>
  </si>
  <si>
    <t xml:space="preserve">1</t>
  </si>
  <si>
    <t xml:space="preserve">Recovery Initiation</t>
  </si>
  <si>
    <t xml:space="preserve">Recovery charter &amp; governance</t>
  </si>
  <si>
    <t xml:space="preserve">PM</t>
  </si>
  <si>
    <t xml:space="preserve">2</t>
  </si>
  <si>
    <t xml:space="preserve">Cost audit &amp; re-baseline (cost-to-complete)</t>
  </si>
  <si>
    <t xml:space="preserve">Cost Consultant</t>
  </si>
  <si>
    <t xml:space="preserve">3</t>
  </si>
  <si>
    <t xml:space="preserve">Cost Controls (Agile sprints)</t>
  </si>
  <si>
    <t xml:space="preserve">Sprint 1–2 – committed-cost register, change-order process</t>
  </si>
  <si>
    <t xml:space="preserve">Commercial Mgr</t>
  </si>
  <si>
    <t xml:space="preserve">4</t>
  </si>
  <si>
    <t xml:space="preserve">Sprint 3–4 – invoice verification, EVM report</t>
  </si>
  <si>
    <t xml:space="preserve">5</t>
  </si>
  <si>
    <t xml:space="preserve">Construction</t>
  </si>
  <si>
    <t xml:space="preserve">Structure (floors 3–6) &amp; roof</t>
  </si>
  <si>
    <t xml:space="preserve">General Contractor</t>
  </si>
  <si>
    <t xml:space="preserve">6</t>
  </si>
  <si>
    <t xml:space="preserve">Building envelope – windows, cladding, roofing</t>
  </si>
  <si>
    <t xml:space="preserve">7</t>
  </si>
  <si>
    <t xml:space="preserve">Mechanical, electrical, plumbing rough-in</t>
  </si>
  <si>
    <t xml:space="preserve">8</t>
  </si>
  <si>
    <t xml:space="preserve">Interior finishes</t>
  </si>
  <si>
    <t xml:space="preserve">9</t>
  </si>
  <si>
    <t xml:space="preserve">Elevators &amp; life-safety systems</t>
  </si>
  <si>
    <t xml:space="preserve">10</t>
  </si>
  <si>
    <t xml:space="preserve">Commissioning &amp; Handover</t>
  </si>
  <si>
    <t xml:space="preserve">Commissioning &amp; testing</t>
  </si>
  <si>
    <t xml:space="preserve">Construction Mgr</t>
  </si>
  <si>
    <t xml:space="preserve">11</t>
  </si>
  <si>
    <t xml:space="preserve">Occupancy inspection &amp; permit</t>
  </si>
  <si>
    <t xml:space="preserve">12</t>
  </si>
  <si>
    <t xml:space="preserve">Snagging, O&amp;M manuals, handover</t>
  </si>
  <si>
    <t xml:space="preserve">Ops Lead</t>
  </si>
  <si>
    <t xml:space="preserve">13</t>
  </si>
  <si>
    <t xml:space="preserve">Closure report &amp; lessons learned</t>
  </si>
  <si>
    <t xml:space="preserve">14</t>
  </si>
  <si>
    <t xml:space="preserve">Milestone</t>
  </si>
  <si>
    <t xml:space="preserve">Recovery charter approved</t>
  </si>
  <si>
    <t xml:space="preserve">15</t>
  </si>
  <si>
    <t xml:space="preserve">Cost audit &amp; re-baseline approved</t>
  </si>
  <si>
    <t xml:space="preserve">16</t>
  </si>
  <si>
    <t xml:space="preserve">Cost controls live (change orders, invoice checks)</t>
  </si>
  <si>
    <t xml:space="preserve">17</t>
  </si>
  <si>
    <t xml:space="preserve">Structure topped out</t>
  </si>
  <si>
    <t xml:space="preserve">18</t>
  </si>
  <si>
    <t xml:space="preserve">Building envelope closed (before winter)</t>
  </si>
  <si>
    <t xml:space="preserve">19</t>
  </si>
  <si>
    <t xml:space="preserve">MEP rough-in &amp; pre-drywall inspection passed</t>
  </si>
  <si>
    <t xml:space="preserve">20</t>
  </si>
  <si>
    <t xml:space="preserve">Construction substantially complete</t>
  </si>
  <si>
    <t xml:space="preserve">21</t>
  </si>
  <si>
    <t xml:space="preserve">Occupancy permit</t>
  </si>
  <si>
    <t xml:space="preserve">22</t>
  </si>
  <si>
    <t xml:space="preserve">Handover &amp; closure</t>
  </si>
  <si>
    <t xml:space="preserve">Stakeholders</t>
  </si>
  <si>
    <t xml:space="preserve">Stakeholder</t>
  </si>
  <si>
    <t xml:space="preserve">Role</t>
  </si>
  <si>
    <t xml:space="preserve">Primary concern</t>
  </si>
  <si>
    <t xml:space="preserve">Influence</t>
  </si>
  <si>
    <t xml:space="preserve">Interest</t>
  </si>
  <si>
    <t xml:space="preserve">Engagement approach</t>
  </si>
  <si>
    <t xml:space="preserve">Fatima Sule</t>
  </si>
  <si>
    <t xml:space="preserve">Project Sponsor (Development Director)</t>
  </si>
  <si>
    <t xml:space="preserve">Schedule, cost and business outcome</t>
  </si>
  <si>
    <t xml:space="preserve">High</t>
  </si>
  <si>
    <t xml:space="preserve">Bi-weekly control board; monthly EVM report; decision memos</t>
  </si>
  <si>
    <t xml:space="preserve">Michael Adekunle</t>
  </si>
  <si>
    <t xml:space="preserve">Technical / Site Lead (Construction Manager)</t>
  </si>
  <si>
    <t xml:space="preserve">Feasibility, sequencing and quality</t>
  </si>
  <si>
    <t xml:space="preserve">Daily site check-ins; weekly look-ahead; owns site verification</t>
  </si>
  <si>
    <t xml:space="preserve">Grace Nnamdi</t>
  </si>
  <si>
    <t xml:space="preserve">Commercial / Procurement Lead (Commercial Manager)</t>
  </si>
  <si>
    <t xml:space="preserve">Supplier performance and cost control</t>
  </si>
  <si>
    <t xml:space="preserve">Weekly cost meeting; owns commitments and change orders</t>
  </si>
  <si>
    <t xml:space="preserve">Femi Balogun</t>
  </si>
  <si>
    <t xml:space="preserve">Operations / End User Lead (Property Operations Manager)</t>
  </si>
  <si>
    <t xml:space="preserve">Continuity, safety and acceptance</t>
  </si>
  <si>
    <t xml:space="preserve">Medium</t>
  </si>
  <si>
    <t xml:space="preserve">Monthly; leads handover acceptance and O&amp;M manuals</t>
  </si>
  <si>
    <t xml:space="preserve">General Contractor PM</t>
  </si>
  <si>
    <t xml:space="preserve">Main contractor</t>
  </si>
  <si>
    <t xml:space="preserve">Payment, schedule, change approvals</t>
  </si>
  <si>
    <t xml:space="preserve">Weekly progress meeting; invoice verification walk</t>
  </si>
  <si>
    <t xml:space="preserve">Cost consultant (QS)</t>
  </si>
  <si>
    <t xml:space="preserve">Advisor</t>
  </si>
  <si>
    <t xml:space="preserve">Accurate valuation</t>
  </si>
  <si>
    <t xml:space="preserve">Weekly; values progress and change orders</t>
  </si>
  <si>
    <t xml:space="preserve">Lender's monitor</t>
  </si>
  <si>
    <t xml:space="preserve">Financier</t>
  </si>
  <si>
    <t xml:space="preserve">Budget covenant, drawdowns</t>
  </si>
  <si>
    <t xml:space="preserve">Monthly EVM report; site visit quarterly</t>
  </si>
  <si>
    <t xml:space="preserve">City building inspector</t>
  </si>
  <si>
    <t xml:space="preserve">Regulator</t>
  </si>
  <si>
    <t xml:space="preserve">Code compliance, permits</t>
  </si>
  <si>
    <t xml:space="preserve">Low</t>
  </si>
  <si>
    <t xml:space="preserve">Inspection booking 2 weeks ahead; pre-inspections</t>
  </si>
  <si>
    <t xml:space="preserve">Window / curtain-wall supplier</t>
  </si>
  <si>
    <t xml:space="preserve">Key supplier</t>
  </si>
  <si>
    <t xml:space="preserve">Production schedule, payment</t>
  </si>
  <si>
    <t xml:space="preserve">Bi-weekly production updates; factory evidence</t>
  </si>
  <si>
    <t xml:space="preserve">RACI</t>
  </si>
  <si>
    <t xml:space="preserve">Activity / deliverable</t>
  </si>
  <si>
    <t xml:space="preserve">PM (Sola)</t>
  </si>
  <si>
    <t xml:space="preserve">A count (must be 1)</t>
  </si>
  <si>
    <t xml:space="preserve">Recovery charter &amp; re-baseline</t>
  </si>
  <si>
    <t xml:space="preserve">A</t>
  </si>
  <si>
    <t xml:space="preserve">R</t>
  </si>
  <si>
    <t xml:space="preserve">C</t>
  </si>
  <si>
    <t xml:space="preserve">I</t>
  </si>
  <si>
    <t xml:space="preserve">Committed-cost register</t>
  </si>
  <si>
    <t xml:space="preserve">Change-order assessment &amp; approval</t>
  </si>
  <si>
    <t xml:space="preserve">Invoice-to-progress verification</t>
  </si>
  <si>
    <t xml:space="preserve">Monthly EVM &amp; lender report</t>
  </si>
  <si>
    <t xml:space="preserve">Site execution &amp; sequencing</t>
  </si>
  <si>
    <t xml:space="preserve">Quality inspections</t>
  </si>
  <si>
    <t xml:space="preserve">Handover &amp; snagging acceptance</t>
  </si>
  <si>
    <t xml:space="preserve">R = Responsible · A = Accountable · C = Consulted · I = Informed. Check column: each row must have exactly one A.</t>
  </si>
  <si>
    <t xml:space="preserve">RAID Log</t>
  </si>
  <si>
    <t xml:space="preserve">Type</t>
  </si>
  <si>
    <t xml:space="preserve">Description</t>
  </si>
  <si>
    <t xml:space="preserve">Probability (1-5)</t>
  </si>
  <si>
    <t xml:space="preserve">Impact (1-5)</t>
  </si>
  <si>
    <t xml:space="preserve">Score</t>
  </si>
  <si>
    <t xml:space="preserve">Response / action</t>
  </si>
  <si>
    <t xml:space="preserve">Status</t>
  </si>
  <si>
    <t xml:space="preserve">Review week</t>
  </si>
  <si>
    <t xml:space="preserve">Risk</t>
  </si>
  <si>
    <t xml:space="preserve">R-01</t>
  </si>
  <si>
    <t xml:space="preserve">Window supplier misses delivery, so the envelope is not closed before winter</t>
  </si>
  <si>
    <t xml:space="preserve">Factory production evidence every 2 weeks; temporary enclosure plan ready</t>
  </si>
  <si>
    <t xml:space="preserve">Occurred → I-02</t>
  </si>
  <si>
    <t xml:space="preserve">R-02</t>
  </si>
  <si>
    <t xml:space="preserve">Contractor resists invoice verification, slowing payments and goodwill</t>
  </si>
  <si>
    <t xml:space="preserve">Joint verification walk on fixed day; pay within 15 days of verified claim</t>
  </si>
  <si>
    <t xml:space="preserve">Closed</t>
  </si>
  <si>
    <t xml:space="preserve">R-03</t>
  </si>
  <si>
    <t xml:space="preserve">Hidden unapproved change orders appear in final accounts</t>
  </si>
  <si>
    <t xml:space="preserve">Amnesty: all pending verbal changes submitted by Week 6; none accepted after</t>
  </si>
  <si>
    <t xml:space="preserve">Open</t>
  </si>
  <si>
    <t xml:space="preserve">R-04</t>
  </si>
  <si>
    <t xml:space="preserve">City inspection booking delays</t>
  </si>
  <si>
    <t xml:space="preserve">Book 2 weeks ahead; contractor pre-inspection checklist</t>
  </si>
  <si>
    <t xml:space="preserve">R-05</t>
  </si>
  <si>
    <t xml:space="preserve">Material price increase on remaining packages</t>
  </si>
  <si>
    <t xml:space="preserve">Lock prices on remaining commitments at re-baseline</t>
  </si>
  <si>
    <t xml:space="preserve">Assumption</t>
  </si>
  <si>
    <t xml:space="preserve">A-01</t>
  </si>
  <si>
    <t xml:space="preserve">No major design changes after re-baseline</t>
  </si>
  <si>
    <t xml:space="preserve">Design freeze agreed at Week 4</t>
  </si>
  <si>
    <t xml:space="preserve">Validated</t>
  </si>
  <si>
    <t xml:space="preserve">Issue</t>
  </si>
  <si>
    <t xml:space="preserve">I-01</t>
  </si>
  <si>
    <t xml:space="preserve">Cost audit found $1.1M of verbal change orders with no paperwork</t>
  </si>
  <si>
    <t xml:space="preserve">Each priced by cost consultant; 31% rejected or reduced</t>
  </si>
  <si>
    <t xml:space="preserve">Resolved</t>
  </si>
  <si>
    <t xml:space="preserve">I-02</t>
  </si>
  <si>
    <t xml:space="preserve">Window supplier missed delivery milestone (Week 18); claimed '2 weeks late'</t>
  </si>
  <si>
    <t xml:space="preserve">Decision D-04 – see decision log</t>
  </si>
  <si>
    <t xml:space="preserve">Dependency</t>
  </si>
  <si>
    <t xml:space="preserve">D-01</t>
  </si>
  <si>
    <t xml:space="preserve">City building inspections at hold points</t>
  </si>
  <si>
    <t xml:space="preserve">Inspection calendar shared with contractor</t>
  </si>
  <si>
    <t xml:space="preserve">D-02</t>
  </si>
  <si>
    <t xml:space="preserve">Utility permanent power connection before commissioning</t>
  </si>
  <si>
    <t xml:space="preserve">Application submitted Week 10</t>
  </si>
  <si>
    <t xml:space="preserve">D-03</t>
  </si>
  <si>
    <t xml:space="preserve">Window supplier production slot</t>
  </si>
  <si>
    <t xml:space="preserve">Tracked via bi-weekly factory evidence</t>
  </si>
  <si>
    <t xml:space="preserve">Open risks scored 15+:</t>
  </si>
  <si>
    <t xml:space="preserve">Comms Plan</t>
  </si>
  <si>
    <t xml:space="preserve">Audience</t>
  </si>
  <si>
    <t xml:space="preserve">Information</t>
  </si>
  <si>
    <t xml:space="preserve">Format / channel</t>
  </si>
  <si>
    <t xml:space="preserve">Frequency</t>
  </si>
  <si>
    <t xml:space="preserve">Escalation route</t>
  </si>
  <si>
    <t xml:space="preserve">Project Control Board</t>
  </si>
  <si>
    <t xml:space="preserve">Cost, EVM, change orders, decisions</t>
  </si>
  <si>
    <t xml:space="preserve">Meeting + control pack</t>
  </si>
  <si>
    <t xml:space="preserve">Every 2 weeks</t>
  </si>
  <si>
    <t xml:space="preserve">Status, top risks, decisions</t>
  </si>
  <si>
    <t xml:space="preserve">1-page update</t>
  </si>
  <si>
    <t xml:space="preserve">Weekly</t>
  </si>
  <si>
    <t xml:space="preserve">Control Board</t>
  </si>
  <si>
    <t xml:space="preserve">EVM, forecast final cost, schedule</t>
  </si>
  <si>
    <t xml:space="preserve">Monthly EVM report</t>
  </si>
  <si>
    <t xml:space="preserve">Monthly</t>
  </si>
  <si>
    <t xml:space="preserve">General contractor</t>
  </si>
  <si>
    <t xml:space="preserve">Progress, look-ahead, invoice verification</t>
  </si>
  <si>
    <t xml:space="preserve">Site progress meeting + verification walk</t>
  </si>
  <si>
    <t xml:space="preserve">Suppliers</t>
  </si>
  <si>
    <t xml:space="preserve">Production and delivery status</t>
  </si>
  <si>
    <t xml:space="preserve">Supplier call + evidence (photos, shipping docs)</t>
  </si>
  <si>
    <t xml:space="preserve">Bi-weekly</t>
  </si>
  <si>
    <t xml:space="preserve">Property operations</t>
  </si>
  <si>
    <t xml:space="preserve">Handover readiness, O&amp;M, training</t>
  </si>
  <si>
    <t xml:space="preserve">Handover meeting</t>
  </si>
  <si>
    <t xml:space="preserve">Monthly; weekly from Week 44</t>
  </si>
  <si>
    <t xml:space="preserve">Budget</t>
  </si>
  <si>
    <t xml:space="preserve">Cost category</t>
  </si>
  <si>
    <t xml:space="preserve">Amount (CAD)</t>
  </si>
  <si>
    <t xml:space="preserve">Notes</t>
  </si>
  <si>
    <t xml:space="preserve">Recovery PM &amp; project controls</t>
  </si>
  <si>
    <t xml:space="preserve">PM, cost controller</t>
  </si>
  <si>
    <t xml:space="preserve">Cost consultant / quantity surveyor</t>
  </si>
  <si>
    <t xml:space="preserve">3 days/week</t>
  </si>
  <si>
    <t xml:space="preserve">Cost-control software &amp; reporting setup</t>
  </si>
  <si>
    <t xml:space="preserve">Independent inspections &amp; testing</t>
  </si>
  <si>
    <t xml:space="preserve">Envelope water test, fire-stopping review</t>
  </si>
  <si>
    <t xml:space="preserve">Contingency (recovery programme)</t>
  </si>
  <si>
    <t xml:space="preserve">Total</t>
  </si>
  <si>
    <t xml:space="preserve">Contingency as % of total</t>
  </si>
  <si>
    <t xml:space="preserve">Procurement / Contractor Tracker (status at Week 20)</t>
  </si>
  <si>
    <t xml:space="preserve">Package</t>
  </si>
  <si>
    <t xml:space="preserve">Supplier / subcontractor (fictional)</t>
  </si>
  <si>
    <t xml:space="preserve">Contract value</t>
  </si>
  <si>
    <t xml:space="preserve">Approved changes</t>
  </si>
  <si>
    <t xml:space="preserve">Revised value</t>
  </si>
  <si>
    <t xml:space="preserve">Site-verified % complete</t>
  </si>
  <si>
    <t xml:space="preserve">Verified value earned</t>
  </si>
  <si>
    <t xml:space="preserve">Invoiced to date</t>
  </si>
  <si>
    <t xml:space="preserve">Over-claimed (invoiced − verified)</t>
  </si>
  <si>
    <t xml:space="preserve">Required on site</t>
  </si>
  <si>
    <t xml:space="preserve">Forecast</t>
  </si>
  <si>
    <t xml:space="preserve">Inspection / acceptance</t>
  </si>
  <si>
    <t xml:space="preserve">Structural framing</t>
  </si>
  <si>
    <t xml:space="preserve">Northline Framing Ltd.</t>
  </si>
  <si>
    <t xml:space="preserve">Week 5</t>
  </si>
  <si>
    <t xml:space="preserve">On site</t>
  </si>
  <si>
    <t xml:space="preserve">Green</t>
  </si>
  <si>
    <t xml:space="preserve">Framing inspection – passed</t>
  </si>
  <si>
    <t xml:space="preserve">Windows &amp; curtain wall</t>
  </si>
  <si>
    <t xml:space="preserve">ClearSpan Glazing Inc.</t>
  </si>
  <si>
    <t xml:space="preserve">Week 16</t>
  </si>
  <si>
    <t xml:space="preserve">Week 21 (was Week 16)</t>
  </si>
  <si>
    <t xml:space="preserve">Red → Amber</t>
  </si>
  <si>
    <t xml:space="preserve">Water test per floor</t>
  </si>
  <si>
    <t xml:space="preserve">Roofing</t>
  </si>
  <si>
    <t xml:space="preserve">Summit Roof Systems</t>
  </si>
  <si>
    <t xml:space="preserve">Week 15</t>
  </si>
  <si>
    <t xml:space="preserve">Complete</t>
  </si>
  <si>
    <t xml:space="preserve">Roof inspection – passed</t>
  </si>
  <si>
    <t xml:space="preserve">Mechanical &amp; plumbing</t>
  </si>
  <si>
    <t xml:space="preserve">Prairie Mechanical Ltd.</t>
  </si>
  <si>
    <t xml:space="preserve">Week 20</t>
  </si>
  <si>
    <t xml:space="preserve">Pre-drywall inspection</t>
  </si>
  <si>
    <t xml:space="preserve">Electrical</t>
  </si>
  <si>
    <t xml:space="preserve">Bright Circuit Electric</t>
  </si>
  <si>
    <t xml:space="preserve">Elevators</t>
  </si>
  <si>
    <t xml:space="preserve">Vertex Lifts Canada</t>
  </si>
  <si>
    <t xml:space="preserve">Week 36</t>
  </si>
  <si>
    <t xml:space="preserve">Elevator safety inspection</t>
  </si>
  <si>
    <t xml:space="preserve">Drywall &amp; interiors</t>
  </si>
  <si>
    <t xml:space="preserve">Capital Interiors Inc.</t>
  </si>
  <si>
    <t xml:space="preserve">Week 34</t>
  </si>
  <si>
    <t xml:space="preserve">Snagging per unit</t>
  </si>
  <si>
    <t xml:space="preserve">Flooring &amp; finishes</t>
  </si>
  <si>
    <t xml:space="preserve">River Valley Finishes</t>
  </si>
  <si>
    <t xml:space="preserve">Week 38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</si>
</sst>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"/>
    <numFmt numFmtId="167" formatCode="0.00"/>
    <numFmt numFmtId="168" formatCode="\$#,##0;&quot;($&quot;#,##0\)"/>
    <numFmt numFmtId="169" formatCode="\+0.0%;\-0.0%"/>
    <numFmt numFmtId="170" formatCode="dd\ mmm\ yyyy"/>
    <numFmt numFmtId="171" formatCode="dd\ mmm\ yy"/>
    <numFmt numFmtId="172" formatCode="General"/>
    <numFmt numFmtId="173" formatCode="0.0%"/>
    <numFmt numFmtId="174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5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color rgb="FF2A78D6"/>
      </font>
      <fill>
        <patternFill>
          <bgColor rgb="FF2A78D6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D9E2F3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29A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29A"/>
        </patternFill>
      </fill>
    </dxf>
    <dxf>
      <fill>
        <patternFill>
          <bgColor rgb="FFB7E1B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E1B5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29A"/>
      <rgbColor rgb="FF2A78D6"/>
      <rgbColor rgb="FF33CCCC"/>
      <rgbColor rgb="FF99CC00"/>
      <rgbColor rgb="FFFFCC00"/>
      <rgbColor rgb="FFFF9900"/>
      <rgbColor rgb="FFEB6834"/>
      <rgbColor rgb="FF666699"/>
      <rgbColor rgb="FF969696"/>
      <rgbColor rgb="FF1F3864"/>
      <rgbColor rgb="FF1BAF7A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Earned value S-curve ($M, remaining scope)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'EVM Dashboard'!F4</c:f>
              <c:strCache>
                <c:ptCount val="1"/>
                <c:pt idx="0">
                  <c:v>PV ($M)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'EVM Dashboard'!$E$5:$E$30</c:f>
              <c:strCache>
                <c:ptCount val="2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strCache>
            </c:strRef>
          </c:cat>
          <c:val>
            <c:numRef>
              <c:f>'EVM Dashboard'!$F$5:$F$30</c:f>
              <c:numCache>
                <c:formatCode>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0.12</c:v>
                </c:pt>
                <c:pt idx="4">
                  <c:v>0.46</c:v>
                </c:pt>
                <c:pt idx="5">
                  <c:v>1.03</c:v>
                </c:pt>
                <c:pt idx="6">
                  <c:v>1.81</c:v>
                </c:pt>
                <c:pt idx="7">
                  <c:v>2.78</c:v>
                </c:pt>
                <c:pt idx="8">
                  <c:v>3.93</c:v>
                </c:pt>
                <c:pt idx="9">
                  <c:v>5.24</c:v>
                </c:pt>
                <c:pt idx="10">
                  <c:v>6.66</c:v>
                </c:pt>
                <c:pt idx="11">
                  <c:v>8.19</c:v>
                </c:pt>
                <c:pt idx="12">
                  <c:v>9.78</c:v>
                </c:pt>
                <c:pt idx="13">
                  <c:v>11.4</c:v>
                </c:pt>
                <c:pt idx="14">
                  <c:v>13.02</c:v>
                </c:pt>
                <c:pt idx="15">
                  <c:v>14.61</c:v>
                </c:pt>
                <c:pt idx="16">
                  <c:v>16.14</c:v>
                </c:pt>
                <c:pt idx="17">
                  <c:v>17.56</c:v>
                </c:pt>
                <c:pt idx="18">
                  <c:v>18.87</c:v>
                </c:pt>
                <c:pt idx="19">
                  <c:v>20.02</c:v>
                </c:pt>
                <c:pt idx="20">
                  <c:v>20.99</c:v>
                </c:pt>
                <c:pt idx="21">
                  <c:v>21.77</c:v>
                </c:pt>
                <c:pt idx="22">
                  <c:v>22.34</c:v>
                </c:pt>
                <c:pt idx="23">
                  <c:v>22.68</c:v>
                </c:pt>
                <c:pt idx="24">
                  <c:v>22.8</c:v>
                </c:pt>
                <c:pt idx="25">
                  <c:v>22.8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'EVM Dashboard'!G4</c:f>
              <c:strCache>
                <c:ptCount val="1"/>
                <c:pt idx="0">
                  <c:v>EV ($M)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'EVM Dashboard'!$E$5:$E$30</c:f>
              <c:strCache>
                <c:ptCount val="2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strCache>
            </c:strRef>
          </c:cat>
          <c:val>
            <c:numRef>
              <c:f>'EVM Dashboard'!$G$5:$G$30</c:f>
              <c:numCache>
                <c:formatCode>0.00</c:formatCode>
                <c:ptCount val="26"/>
                <c:pt idx="2">
                  <c:v>0</c:v>
                </c:pt>
                <c:pt idx="3">
                  <c:v>0.12</c:v>
                </c:pt>
                <c:pt idx="4">
                  <c:v>0.46</c:v>
                </c:pt>
                <c:pt idx="5">
                  <c:v>1.02</c:v>
                </c:pt>
                <c:pt idx="6">
                  <c:v>1.78</c:v>
                </c:pt>
                <c:pt idx="7">
                  <c:v>2.73</c:v>
                </c:pt>
                <c:pt idx="8">
                  <c:v>3.84</c:v>
                </c:pt>
                <c:pt idx="9">
                  <c:v>5.09</c:v>
                </c:pt>
                <c:pt idx="10">
                  <c:v>6.45</c:v>
                </c:pt>
                <c:pt idx="11">
                  <c:v>7.89</c:v>
                </c:pt>
                <c:pt idx="12">
                  <c:v>9.39</c:v>
                </c:pt>
                <c:pt idx="13">
                  <c:v>10.9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'EVM Dashboard'!H4</c:f>
              <c:strCache>
                <c:ptCount val="1"/>
                <c:pt idx="0">
                  <c:v>AC ($M)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'EVM Dashboard'!$E$5:$E$30</c:f>
              <c:strCache>
                <c:ptCount val="2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strCache>
            </c:strRef>
          </c:cat>
          <c:val>
            <c:numRef>
              <c:f>'EVM Dashboard'!$H$5:$H$30</c:f>
              <c:numCache>
                <c:formatCode>0.00</c:formatCode>
                <c:ptCount val="26"/>
                <c:pt idx="2">
                  <c:v>0</c:v>
                </c:pt>
                <c:pt idx="3">
                  <c:v>0.12</c:v>
                </c:pt>
                <c:pt idx="4">
                  <c:v>0.49</c:v>
                </c:pt>
                <c:pt idx="5">
                  <c:v>1.08</c:v>
                </c:pt>
                <c:pt idx="6">
                  <c:v>1.88</c:v>
                </c:pt>
                <c:pt idx="7">
                  <c:v>2.87</c:v>
                </c:pt>
                <c:pt idx="8">
                  <c:v>4.03</c:v>
                </c:pt>
                <c:pt idx="9">
                  <c:v>5.32</c:v>
                </c:pt>
                <c:pt idx="10">
                  <c:v>6.71</c:v>
                </c:pt>
                <c:pt idx="11">
                  <c:v>8.18</c:v>
                </c:pt>
                <c:pt idx="12">
                  <c:v>9.69</c:v>
                </c:pt>
                <c:pt idx="13">
                  <c:v>11.2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214572"/>
        <c:axId val="71265041"/>
      </c:lineChart>
      <c:catAx>
        <c:axId val="302145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Project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65041"/>
        <c:crosses val="autoZero"/>
        <c:auto val="1"/>
        <c:lblAlgn val="ctr"/>
        <c:lblOffset val="100"/>
        <c:noMultiLvlLbl val="0"/>
      </c:catAx>
      <c:valAx>
        <c:axId val="712650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145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145440</xdr:rowOff>
    </xdr:from>
    <xdr:to>
      <xdr:col>19</xdr:col>
      <xdr:colOff>364680</xdr:colOff>
      <xdr:row>21</xdr:row>
      <xdr:rowOff>125640</xdr:rowOff>
    </xdr:to>
    <xdr:graphicFrame>
      <xdr:nvGraphicFramePr>
        <xdr:cNvPr id="0" name="Chart 1"/>
        <xdr:cNvGraphicFramePr/>
      </xdr:nvGraphicFramePr>
      <xdr:xfrm>
        <a:off x="860112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udgetTbl" displayName="BudgetTbl" ref="A4:C9" headerRowCount="1" totalsRowCount="0" totalsRowShown="0">
  <autoFilter ref="A4:C9"/>
  <tableColumns count="3">
    <tableColumn id="1" name="Cost category"/>
    <tableColumn id="2" name="Amount (CAD)"/>
    <tableColumn id="3" name="Notes"/>
  </tableColumns>
</table>
</file>

<file path=xl/tables/table2.xml><?xml version="1.0" encoding="utf-8"?>
<table xmlns="http://schemas.openxmlformats.org/spreadsheetml/2006/main" id="2" name="CommsPlanTbl" displayName="CommsPlanTbl" ref="A4:F10" headerRowCount="1" totalsRowCount="0" totalsRowShown="0">
  <autoFilter ref="A4:F10"/>
  <tableColumns count="6">
    <tableColumn id="1" name="Audience"/>
    <tableColumn id="2" name="Information"/>
    <tableColumn id="3" name="Format / channel"/>
    <tableColumn id="4" name="Frequency"/>
    <tableColumn id="5" name="Owner"/>
    <tableColumn id="6" name="Escalation route"/>
  </tableColumns>
</table>
</file>

<file path=xl/tables/table3.xml><?xml version="1.0" encoding="utf-8"?>
<table xmlns="http://schemas.openxmlformats.org/spreadsheetml/2006/main" id="3" name="RACITbl" displayName="RACITbl" ref="A4:H12" headerRowCount="1" totalsRowCount="0" totalsRowShown="0">
  <autoFilter ref="A4:H12"/>
  <tableColumns count="8">
    <tableColumn id="1" name="Activity / deliverable"/>
    <tableColumn id="2" name="Sponsor"/>
    <tableColumn id="3" name="PM (Sola)"/>
    <tableColumn id="4" name="Construction Mgr"/>
    <tableColumn id="5" name="Commercial Mgr"/>
    <tableColumn id="6" name="General Contractor"/>
    <tableColumn id="7" name="Cost Consultant"/>
    <tableColumn id="8" name="Ops Lead"/>
  </tableColumns>
</table>
</file>

<file path=xl/tables/table4.xml><?xml version="1.0" encoding="utf-8"?>
<table xmlns="http://schemas.openxmlformats.org/spreadsheetml/2006/main" id="4" name="RAIDLogTbl" displayName="RAIDLogTbl" ref="A4:J15" headerRowCount="1" totalsRowCount="0" totalsRowShown="0">
  <autoFilter ref="A4:J15"/>
  <tableColumns count="10">
    <tableColumn id="1" name="Type"/>
    <tableColumn id="2" name="ID"/>
    <tableColumn id="3" name="Description"/>
    <tableColumn id="4" name="Probability (1-5)"/>
    <tableColumn id="5" name="Impact (1-5)"/>
    <tableColumn id="6" name="Score"/>
    <tableColumn id="7" name="Owner"/>
    <tableColumn id="8" name="Response / action"/>
    <tableColumn id="9" name="Status"/>
    <tableColumn id="10" name="Review week"/>
  </tableColumns>
</table>
</file>

<file path=xl/tables/table5.xml><?xml version="1.0" encoding="utf-8"?>
<table xmlns="http://schemas.openxmlformats.org/spreadsheetml/2006/main" id="5" name="StakeholdersTbl" displayName="StakeholdersTbl" ref="A4:F13" headerRowCount="1" totalsRowCount="0" totalsRowShown="0">
  <autoFilter ref="A4:F13"/>
  <tableColumns count="6">
    <tableColumn id="1" name="Stakeholder"/>
    <tableColumn id="2" name="Role"/>
    <tableColumn id="3" name="Primary concern"/>
    <tableColumn id="4" name="Influence"/>
    <tableColumn id="5" name="Interest"/>
    <tableColumn id="6" name="Engagement approac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n">
        <v>51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4" t="s">
        <v>14</v>
      </c>
    </row>
    <row r="13" customFormat="false" ht="15" hidden="false" customHeight="false" outlineLevel="0" collapsed="false">
      <c r="A13" s="4" t="s">
        <v>15</v>
      </c>
    </row>
    <row r="14" customFormat="false" ht="15" hidden="false" customHeight="false" outlineLevel="0" collapsed="false">
      <c r="A14" s="4" t="s">
        <v>16</v>
      </c>
    </row>
    <row r="15" customFormat="false" ht="15" hidden="false" customHeight="false" outlineLevel="0" collapsed="false">
      <c r="A15" s="4" t="s">
        <v>17</v>
      </c>
    </row>
    <row r="16" customFormat="false" ht="15" hidden="false" customHeight="false" outlineLevel="0" collapsed="false">
      <c r="A16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8" min="5" style="0" width="9"/>
  </cols>
  <sheetData>
    <row r="1" customFormat="false" ht="18.55" hidden="false" customHeight="false" outlineLevel="0" collapsed="false">
      <c r="A1" s="5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4" t="s">
        <v>21</v>
      </c>
      <c r="B4" s="6" t="n">
        <v>22800000</v>
      </c>
      <c r="E4" s="7" t="s">
        <v>22</v>
      </c>
      <c r="F4" s="7" t="s">
        <v>23</v>
      </c>
      <c r="G4" s="7" t="s">
        <v>24</v>
      </c>
      <c r="H4" s="7" t="s">
        <v>25</v>
      </c>
    </row>
    <row r="5" customFormat="false" ht="15" hidden="false" customHeight="false" outlineLevel="0" collapsed="false">
      <c r="A5" s="4" t="s">
        <v>26</v>
      </c>
      <c r="B5" s="6" t="n">
        <v>15200000</v>
      </c>
      <c r="E5" s="8" t="n">
        <v>0</v>
      </c>
      <c r="F5" s="9" t="n">
        <v>0</v>
      </c>
      <c r="G5" s="9"/>
      <c r="H5" s="9"/>
    </row>
    <row r="6" customFormat="false" ht="15" hidden="false" customHeight="false" outlineLevel="0" collapsed="false">
      <c r="A6" s="4" t="s">
        <v>27</v>
      </c>
      <c r="B6" s="6" t="n">
        <v>38000000</v>
      </c>
      <c r="E6" s="8" t="n">
        <v>2</v>
      </c>
      <c r="F6" s="9" t="n">
        <v>0</v>
      </c>
      <c r="G6" s="9"/>
      <c r="H6" s="9"/>
    </row>
    <row r="7" customFormat="false" ht="15" hidden="false" customHeight="false" outlineLevel="0" collapsed="false">
      <c r="A7" s="4" t="s">
        <v>28</v>
      </c>
      <c r="B7" s="10" t="n">
        <v>26</v>
      </c>
      <c r="E7" s="8" t="n">
        <v>4</v>
      </c>
      <c r="F7" s="9" t="n">
        <v>0</v>
      </c>
      <c r="G7" s="9" t="n">
        <v>0</v>
      </c>
      <c r="H7" s="9" t="n">
        <v>0</v>
      </c>
    </row>
    <row r="8" customFormat="false" ht="15" hidden="false" customHeight="false" outlineLevel="0" collapsed="false">
      <c r="E8" s="8" t="n">
        <v>6</v>
      </c>
      <c r="F8" s="9" t="n">
        <v>0.12</v>
      </c>
      <c r="G8" s="9" t="n">
        <v>0.12</v>
      </c>
      <c r="H8" s="9" t="n">
        <v>0.12</v>
      </c>
    </row>
    <row r="9" customFormat="false" ht="15" hidden="false" customHeight="false" outlineLevel="0" collapsed="false">
      <c r="A9" s="4" t="s">
        <v>29</v>
      </c>
      <c r="B9" s="11" t="n">
        <f aca="false">INDEX($F$5:$F$30,MATCH($B$7,$E$5:$E$30,0))*1000000</f>
        <v>11400000</v>
      </c>
      <c r="E9" s="8" t="n">
        <v>8</v>
      </c>
      <c r="F9" s="9" t="n">
        <v>0.46</v>
      </c>
      <c r="G9" s="9" t="n">
        <v>0.46</v>
      </c>
      <c r="H9" s="9" t="n">
        <v>0.49</v>
      </c>
    </row>
    <row r="10" customFormat="false" ht="15" hidden="false" customHeight="false" outlineLevel="0" collapsed="false">
      <c r="A10" s="4" t="s">
        <v>30</v>
      </c>
      <c r="B10" s="11" t="n">
        <f aca="false">INDEX($G$5:$G$30,MATCH($B$7,$E$5:$E$30,0))*1000000</f>
        <v>10900000</v>
      </c>
      <c r="E10" s="8" t="n">
        <v>10</v>
      </c>
      <c r="F10" s="9" t="n">
        <v>1.03</v>
      </c>
      <c r="G10" s="9" t="n">
        <v>1.02</v>
      </c>
      <c r="H10" s="9" t="n">
        <v>1.08</v>
      </c>
    </row>
    <row r="11" customFormat="false" ht="15" hidden="false" customHeight="false" outlineLevel="0" collapsed="false">
      <c r="A11" s="4" t="s">
        <v>31</v>
      </c>
      <c r="B11" s="11" t="n">
        <f aca="false">INDEX($H$5:$H$30,MATCH($B$7,$E$5:$E$30,0))*1000000</f>
        <v>11200000</v>
      </c>
      <c r="E11" s="8" t="n">
        <v>12</v>
      </c>
      <c r="F11" s="9" t="n">
        <v>1.81</v>
      </c>
      <c r="G11" s="9" t="n">
        <v>1.78</v>
      </c>
      <c r="H11" s="9" t="n">
        <v>1.88</v>
      </c>
    </row>
    <row r="12" customFormat="false" ht="15" hidden="false" customHeight="false" outlineLevel="0" collapsed="false">
      <c r="A12" s="4" t="s">
        <v>32</v>
      </c>
      <c r="B12" s="12" t="n">
        <f aca="false">B10-B11</f>
        <v>-300000</v>
      </c>
      <c r="E12" s="8" t="n">
        <v>14</v>
      </c>
      <c r="F12" s="9" t="n">
        <v>2.78</v>
      </c>
      <c r="G12" s="9" t="n">
        <v>2.73</v>
      </c>
      <c r="H12" s="9" t="n">
        <v>2.87</v>
      </c>
    </row>
    <row r="13" customFormat="false" ht="15" hidden="false" customHeight="false" outlineLevel="0" collapsed="false">
      <c r="A13" s="4" t="s">
        <v>33</v>
      </c>
      <c r="B13" s="12" t="n">
        <f aca="false">B10-B9</f>
        <v>-500000</v>
      </c>
      <c r="E13" s="8" t="n">
        <v>16</v>
      </c>
      <c r="F13" s="9" t="n">
        <v>3.93</v>
      </c>
      <c r="G13" s="9" t="n">
        <v>3.84</v>
      </c>
      <c r="H13" s="9" t="n">
        <v>4.03</v>
      </c>
    </row>
    <row r="14" customFormat="false" ht="15" hidden="false" customHeight="false" outlineLevel="0" collapsed="false">
      <c r="A14" s="3" t="s">
        <v>34</v>
      </c>
      <c r="B14" s="13" t="n">
        <f aca="false">B10/B11</f>
        <v>0.973214285714286</v>
      </c>
      <c r="E14" s="8" t="n">
        <v>18</v>
      </c>
      <c r="F14" s="9" t="n">
        <v>5.24</v>
      </c>
      <c r="G14" s="9" t="n">
        <v>5.09</v>
      </c>
      <c r="H14" s="9" t="n">
        <v>5.32</v>
      </c>
    </row>
    <row r="15" customFormat="false" ht="15" hidden="false" customHeight="false" outlineLevel="0" collapsed="false">
      <c r="A15" s="4" t="s">
        <v>35</v>
      </c>
      <c r="B15" s="14" t="n">
        <f aca="false">B10/B9</f>
        <v>0.956140350877193</v>
      </c>
      <c r="E15" s="8" t="n">
        <v>20</v>
      </c>
      <c r="F15" s="9" t="n">
        <v>6.66</v>
      </c>
      <c r="G15" s="9" t="n">
        <v>6.45</v>
      </c>
      <c r="H15" s="9" t="n">
        <v>6.71</v>
      </c>
    </row>
    <row r="16" customFormat="false" ht="15" hidden="false" customHeight="false" outlineLevel="0" collapsed="false">
      <c r="A16" s="4" t="s">
        <v>36</v>
      </c>
      <c r="B16" s="11" t="n">
        <f aca="false">B4/B14</f>
        <v>23427522.9357798</v>
      </c>
      <c r="E16" s="8" t="n">
        <v>22</v>
      </c>
      <c r="F16" s="9" t="n">
        <v>8.19</v>
      </c>
      <c r="G16" s="9" t="n">
        <v>7.89</v>
      </c>
      <c r="H16" s="9" t="n">
        <v>8.18</v>
      </c>
    </row>
    <row r="17" customFormat="false" ht="15" hidden="false" customHeight="false" outlineLevel="0" collapsed="false">
      <c r="A17" s="3" t="s">
        <v>37</v>
      </c>
      <c r="B17" s="15" t="n">
        <f aca="false">B5+B16</f>
        <v>38627522.9357798</v>
      </c>
      <c r="E17" s="8" t="n">
        <v>24</v>
      </c>
      <c r="F17" s="9" t="n">
        <v>9.78</v>
      </c>
      <c r="G17" s="9" t="n">
        <v>9.39</v>
      </c>
      <c r="H17" s="9" t="n">
        <v>9.69</v>
      </c>
    </row>
    <row r="18" customFormat="false" ht="15" hidden="false" customHeight="false" outlineLevel="0" collapsed="false">
      <c r="A18" s="3" t="s">
        <v>38</v>
      </c>
      <c r="B18" s="16" t="n">
        <f aca="false">B17/B6-1</f>
        <v>0.0165137614678899</v>
      </c>
      <c r="E18" s="8" t="n">
        <v>26</v>
      </c>
      <c r="F18" s="9" t="n">
        <v>11.4</v>
      </c>
      <c r="G18" s="9" t="n">
        <v>10.9</v>
      </c>
      <c r="H18" s="9" t="n">
        <v>11.2</v>
      </c>
    </row>
    <row r="19" customFormat="false" ht="15" hidden="false" customHeight="false" outlineLevel="0" collapsed="false">
      <c r="E19" s="8" t="n">
        <v>28</v>
      </c>
      <c r="F19" s="9" t="n">
        <v>13.02</v>
      </c>
      <c r="G19" s="9"/>
      <c r="H19" s="9"/>
    </row>
    <row r="20" customFormat="false" ht="15" hidden="false" customHeight="false" outlineLevel="0" collapsed="false">
      <c r="A20" s="2" t="s">
        <v>39</v>
      </c>
      <c r="E20" s="8" t="n">
        <v>30</v>
      </c>
      <c r="F20" s="9" t="n">
        <v>14.61</v>
      </c>
      <c r="G20" s="9"/>
      <c r="H20" s="9"/>
    </row>
    <row r="21" customFormat="false" ht="15" hidden="false" customHeight="false" outlineLevel="0" collapsed="false">
      <c r="A21" s="0" t="s">
        <v>40</v>
      </c>
      <c r="B21" s="0" t="str">
        <f aca="false">IF(B14&gt;=0.97,"Yes","No")</f>
        <v>Yes</v>
      </c>
      <c r="E21" s="8" t="n">
        <v>32</v>
      </c>
      <c r="F21" s="9" t="n">
        <v>16.14</v>
      </c>
      <c r="G21" s="9"/>
      <c r="H21" s="9"/>
    </row>
    <row r="22" customFormat="false" ht="15" hidden="false" customHeight="false" outlineLevel="0" collapsed="false">
      <c r="A22" s="0" t="s">
        <v>41</v>
      </c>
      <c r="B22" s="0" t="str">
        <f aca="false">IF(B18&lt;=0.03,"Yes","No")</f>
        <v>Yes</v>
      </c>
      <c r="E22" s="8" t="n">
        <v>34</v>
      </c>
      <c r="F22" s="9" t="n">
        <v>17.56</v>
      </c>
      <c r="G22" s="9"/>
      <c r="H22" s="9"/>
    </row>
    <row r="23" customFormat="false" ht="15" hidden="false" customHeight="false" outlineLevel="0" collapsed="false">
      <c r="E23" s="8" t="n">
        <v>36</v>
      </c>
      <c r="F23" s="9" t="n">
        <v>18.87</v>
      </c>
      <c r="G23" s="9"/>
      <c r="H23" s="9"/>
    </row>
    <row r="24" customFormat="false" ht="15" hidden="false" customHeight="false" outlineLevel="0" collapsed="false">
      <c r="E24" s="8" t="n">
        <v>38</v>
      </c>
      <c r="F24" s="9" t="n">
        <v>20.02</v>
      </c>
      <c r="G24" s="9"/>
      <c r="H24" s="9"/>
    </row>
    <row r="25" customFormat="false" ht="15" hidden="false" customHeight="false" outlineLevel="0" collapsed="false">
      <c r="E25" s="8" t="n">
        <v>40</v>
      </c>
      <c r="F25" s="9" t="n">
        <v>20.99</v>
      </c>
      <c r="G25" s="9"/>
      <c r="H25" s="9"/>
    </row>
    <row r="26" customFormat="false" ht="15" hidden="false" customHeight="false" outlineLevel="0" collapsed="false">
      <c r="E26" s="8" t="n">
        <v>42</v>
      </c>
      <c r="F26" s="9" t="n">
        <v>21.77</v>
      </c>
      <c r="G26" s="9"/>
      <c r="H26" s="9"/>
    </row>
    <row r="27" customFormat="false" ht="15" hidden="false" customHeight="false" outlineLevel="0" collapsed="false">
      <c r="E27" s="8" t="n">
        <v>44</v>
      </c>
      <c r="F27" s="9" t="n">
        <v>22.34</v>
      </c>
      <c r="G27" s="9"/>
      <c r="H27" s="9"/>
    </row>
    <row r="28" customFormat="false" ht="15" hidden="false" customHeight="false" outlineLevel="0" collapsed="false">
      <c r="E28" s="8" t="n">
        <v>46</v>
      </c>
      <c r="F28" s="9" t="n">
        <v>22.68</v>
      </c>
      <c r="G28" s="9"/>
      <c r="H28" s="9"/>
    </row>
    <row r="29" customFormat="false" ht="15" hidden="false" customHeight="false" outlineLevel="0" collapsed="false">
      <c r="E29" s="8" t="n">
        <v>48</v>
      </c>
      <c r="F29" s="9" t="n">
        <v>22.8</v>
      </c>
      <c r="G29" s="9"/>
      <c r="H29" s="9"/>
    </row>
    <row r="30" customFormat="false" ht="15" hidden="false" customHeight="false" outlineLevel="0" collapsed="false">
      <c r="E30" s="8" t="n">
        <v>50</v>
      </c>
      <c r="F30" s="9" t="n">
        <v>22.8</v>
      </c>
      <c r="G30" s="9"/>
      <c r="H3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61" min="10" style="0" width="3.2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43</v>
      </c>
      <c r="C3" s="17" t="n">
        <v>46153</v>
      </c>
    </row>
    <row r="5" customFormat="false" ht="26.85" hidden="false" customHeight="false" outlineLevel="0" collapsed="false">
      <c r="A5" s="7" t="s">
        <v>44</v>
      </c>
      <c r="B5" s="7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50</v>
      </c>
      <c r="H5" s="7" t="s">
        <v>51</v>
      </c>
      <c r="I5" s="7" t="s">
        <v>52</v>
      </c>
      <c r="J5" s="7" t="n">
        <v>1</v>
      </c>
      <c r="K5" s="7" t="n">
        <v>2</v>
      </c>
      <c r="L5" s="7" t="n">
        <v>3</v>
      </c>
      <c r="M5" s="7" t="n">
        <v>4</v>
      </c>
      <c r="N5" s="7" t="n">
        <v>5</v>
      </c>
      <c r="O5" s="7" t="n">
        <v>6</v>
      </c>
      <c r="P5" s="7" t="n">
        <v>7</v>
      </c>
      <c r="Q5" s="7" t="n">
        <v>8</v>
      </c>
      <c r="R5" s="7" t="n">
        <v>9</v>
      </c>
      <c r="S5" s="7" t="n">
        <v>10</v>
      </c>
      <c r="T5" s="7" t="n">
        <v>11</v>
      </c>
      <c r="U5" s="7" t="n">
        <v>12</v>
      </c>
      <c r="V5" s="7" t="n">
        <v>13</v>
      </c>
      <c r="W5" s="7" t="n">
        <v>14</v>
      </c>
      <c r="X5" s="7" t="n">
        <v>15</v>
      </c>
      <c r="Y5" s="7" t="n">
        <v>16</v>
      </c>
      <c r="Z5" s="7" t="n">
        <v>17</v>
      </c>
      <c r="AA5" s="7" t="n">
        <v>18</v>
      </c>
      <c r="AB5" s="7" t="n">
        <v>19</v>
      </c>
      <c r="AC5" s="7" t="n">
        <v>20</v>
      </c>
      <c r="AD5" s="7" t="n">
        <v>21</v>
      </c>
      <c r="AE5" s="7" t="n">
        <v>22</v>
      </c>
      <c r="AF5" s="7" t="n">
        <v>23</v>
      </c>
      <c r="AG5" s="7" t="n">
        <v>24</v>
      </c>
      <c r="AH5" s="7" t="n">
        <v>25</v>
      </c>
      <c r="AI5" s="7" t="n">
        <v>26</v>
      </c>
      <c r="AJ5" s="7" t="n">
        <v>27</v>
      </c>
      <c r="AK5" s="7" t="n">
        <v>28</v>
      </c>
      <c r="AL5" s="7" t="n">
        <v>29</v>
      </c>
      <c r="AM5" s="7" t="n">
        <v>30</v>
      </c>
      <c r="AN5" s="7" t="n">
        <v>31</v>
      </c>
      <c r="AO5" s="7" t="n">
        <v>32</v>
      </c>
      <c r="AP5" s="7" t="n">
        <v>33</v>
      </c>
      <c r="AQ5" s="7" t="n">
        <v>34</v>
      </c>
      <c r="AR5" s="7" t="n">
        <v>35</v>
      </c>
      <c r="AS5" s="7" t="n">
        <v>36</v>
      </c>
      <c r="AT5" s="7" t="n">
        <v>37</v>
      </c>
      <c r="AU5" s="7" t="n">
        <v>38</v>
      </c>
      <c r="AV5" s="7" t="n">
        <v>39</v>
      </c>
      <c r="AW5" s="7" t="n">
        <v>40</v>
      </c>
      <c r="AX5" s="7" t="n">
        <v>41</v>
      </c>
      <c r="AY5" s="7" t="n">
        <v>42</v>
      </c>
      <c r="AZ5" s="7" t="n">
        <v>43</v>
      </c>
      <c r="BA5" s="7" t="n">
        <v>44</v>
      </c>
      <c r="BB5" s="7" t="n">
        <v>45</v>
      </c>
      <c r="BC5" s="7" t="n">
        <v>46</v>
      </c>
      <c r="BD5" s="7" t="n">
        <v>47</v>
      </c>
      <c r="BE5" s="7" t="n">
        <v>48</v>
      </c>
      <c r="BF5" s="7" t="n">
        <v>49</v>
      </c>
      <c r="BG5" s="7" t="n">
        <v>50</v>
      </c>
      <c r="BH5" s="7" t="n">
        <v>51</v>
      </c>
      <c r="BI5" s="7" t="n">
        <v>52</v>
      </c>
    </row>
    <row r="6" customFormat="false" ht="15" hidden="false" customHeight="false" outlineLevel="0" collapsed="false">
      <c r="A6" s="4" t="s">
        <v>53</v>
      </c>
      <c r="B6" s="4" t="s">
        <v>54</v>
      </c>
      <c r="C6" s="4" t="s">
        <v>55</v>
      </c>
      <c r="D6" s="4" t="s">
        <v>56</v>
      </c>
      <c r="E6" s="18" t="n">
        <v>1</v>
      </c>
      <c r="F6" s="18" t="n">
        <v>2</v>
      </c>
      <c r="G6" s="4" t="n">
        <f aca="false">E6+F6-1</f>
        <v>2</v>
      </c>
      <c r="H6" s="19" t="n">
        <f aca="false">$C$3+(E6-1)*7</f>
        <v>46153</v>
      </c>
      <c r="I6" s="19" t="n">
        <f aca="false">$C$3+G6*7-3</f>
        <v>46164</v>
      </c>
      <c r="J6" s="20" t="n">
        <f aca="false">IF(AND(J$5&gt;=$E6,J$5&lt;=$G6),1,"")</f>
        <v>1</v>
      </c>
      <c r="K6" s="20" t="n">
        <f aca="false">IF(AND(K$5&gt;=$E6,K$5&lt;=$G6),1,"")</f>
        <v>1</v>
      </c>
      <c r="L6" s="20" t="str">
        <f aca="false">IF(AND(L$5&gt;=$E6,L$5&lt;=$G6),1,"")</f>
        <v/>
      </c>
      <c r="M6" s="20" t="str">
        <f aca="false">IF(AND(M$5&gt;=$E6,M$5&lt;=$G6),1,"")</f>
        <v/>
      </c>
      <c r="N6" s="20" t="str">
        <f aca="false">IF(AND(N$5&gt;=$E6,N$5&lt;=$G6),1,"")</f>
        <v/>
      </c>
      <c r="O6" s="20" t="str">
        <f aca="false">IF(AND(O$5&gt;=$E6,O$5&lt;=$G6),1,"")</f>
        <v/>
      </c>
      <c r="P6" s="20" t="str">
        <f aca="false">IF(AND(P$5&gt;=$E6,P$5&lt;=$G6),1,"")</f>
        <v/>
      </c>
      <c r="Q6" s="20" t="str">
        <f aca="false">IF(AND(Q$5&gt;=$E6,Q$5&lt;=$G6),1,"")</f>
        <v/>
      </c>
      <c r="R6" s="20" t="str">
        <f aca="false">IF(AND(R$5&gt;=$E6,R$5&lt;=$G6),1,"")</f>
        <v/>
      </c>
      <c r="S6" s="20" t="str">
        <f aca="false">IF(AND(S$5&gt;=$E6,S$5&lt;=$G6),1,"")</f>
        <v/>
      </c>
      <c r="T6" s="20" t="str">
        <f aca="false">IF(AND(T$5&gt;=$E6,T$5&lt;=$G6),1,"")</f>
        <v/>
      </c>
      <c r="U6" s="20" t="str">
        <f aca="false">IF(AND(U$5&gt;=$E6,U$5&lt;=$G6),1,"")</f>
        <v/>
      </c>
      <c r="V6" s="20" t="str">
        <f aca="false">IF(AND(V$5&gt;=$E6,V$5&lt;=$G6),1,"")</f>
        <v/>
      </c>
      <c r="W6" s="20" t="str">
        <f aca="false">IF(AND(W$5&gt;=$E6,W$5&lt;=$G6),1,"")</f>
        <v/>
      </c>
      <c r="X6" s="20" t="str">
        <f aca="false">IF(AND(X$5&gt;=$E6,X$5&lt;=$G6),1,"")</f>
        <v/>
      </c>
      <c r="Y6" s="20" t="str">
        <f aca="false">IF(AND(Y$5&gt;=$E6,Y$5&lt;=$G6),1,"")</f>
        <v/>
      </c>
      <c r="Z6" s="20" t="str">
        <f aca="false">IF(AND(Z$5&gt;=$E6,Z$5&lt;=$G6),1,"")</f>
        <v/>
      </c>
      <c r="AA6" s="20" t="str">
        <f aca="false">IF(AND(AA$5&gt;=$E6,AA$5&lt;=$G6),1,"")</f>
        <v/>
      </c>
      <c r="AB6" s="20" t="str">
        <f aca="false">IF(AND(AB$5&gt;=$E6,AB$5&lt;=$G6),1,"")</f>
        <v/>
      </c>
      <c r="AC6" s="20" t="str">
        <f aca="false">IF(AND(AC$5&gt;=$E6,AC$5&lt;=$G6),1,"")</f>
        <v/>
      </c>
      <c r="AD6" s="20" t="str">
        <f aca="false">IF(AND(AD$5&gt;=$E6,AD$5&lt;=$G6),1,"")</f>
        <v/>
      </c>
      <c r="AE6" s="20" t="str">
        <f aca="false">IF(AND(AE$5&gt;=$E6,AE$5&lt;=$G6),1,"")</f>
        <v/>
      </c>
      <c r="AF6" s="20" t="str">
        <f aca="false">IF(AND(AF$5&gt;=$E6,AF$5&lt;=$G6),1,"")</f>
        <v/>
      </c>
      <c r="AG6" s="20" t="str">
        <f aca="false">IF(AND(AG$5&gt;=$E6,AG$5&lt;=$G6),1,"")</f>
        <v/>
      </c>
      <c r="AH6" s="20" t="str">
        <f aca="false">IF(AND(AH$5&gt;=$E6,AH$5&lt;=$G6),1,"")</f>
        <v/>
      </c>
      <c r="AI6" s="20" t="str">
        <f aca="false">IF(AND(AI$5&gt;=$E6,AI$5&lt;=$G6),1,"")</f>
        <v/>
      </c>
      <c r="AJ6" s="20" t="str">
        <f aca="false">IF(AND(AJ$5&gt;=$E6,AJ$5&lt;=$G6),1,"")</f>
        <v/>
      </c>
      <c r="AK6" s="20" t="str">
        <f aca="false">IF(AND(AK$5&gt;=$E6,AK$5&lt;=$G6),1,"")</f>
        <v/>
      </c>
      <c r="AL6" s="20" t="str">
        <f aca="false">IF(AND(AL$5&gt;=$E6,AL$5&lt;=$G6),1,"")</f>
        <v/>
      </c>
      <c r="AM6" s="20" t="str">
        <f aca="false">IF(AND(AM$5&gt;=$E6,AM$5&lt;=$G6),1,"")</f>
        <v/>
      </c>
      <c r="AN6" s="20" t="str">
        <f aca="false">IF(AND(AN$5&gt;=$E6,AN$5&lt;=$G6),1,"")</f>
        <v/>
      </c>
      <c r="AO6" s="20" t="str">
        <f aca="false">IF(AND(AO$5&gt;=$E6,AO$5&lt;=$G6),1,"")</f>
        <v/>
      </c>
      <c r="AP6" s="20" t="str">
        <f aca="false">IF(AND(AP$5&gt;=$E6,AP$5&lt;=$G6),1,"")</f>
        <v/>
      </c>
      <c r="AQ6" s="20" t="str">
        <f aca="false">IF(AND(AQ$5&gt;=$E6,AQ$5&lt;=$G6),1,"")</f>
        <v/>
      </c>
      <c r="AR6" s="20" t="str">
        <f aca="false">IF(AND(AR$5&gt;=$E6,AR$5&lt;=$G6),1,"")</f>
        <v/>
      </c>
      <c r="AS6" s="20" t="str">
        <f aca="false">IF(AND(AS$5&gt;=$E6,AS$5&lt;=$G6),1,"")</f>
        <v/>
      </c>
      <c r="AT6" s="20" t="str">
        <f aca="false">IF(AND(AT$5&gt;=$E6,AT$5&lt;=$G6),1,"")</f>
        <v/>
      </c>
      <c r="AU6" s="20" t="str">
        <f aca="false">IF(AND(AU$5&gt;=$E6,AU$5&lt;=$G6),1,"")</f>
        <v/>
      </c>
      <c r="AV6" s="20" t="str">
        <f aca="false">IF(AND(AV$5&gt;=$E6,AV$5&lt;=$G6),1,"")</f>
        <v/>
      </c>
      <c r="AW6" s="20" t="str">
        <f aca="false">IF(AND(AW$5&gt;=$E6,AW$5&lt;=$G6),1,"")</f>
        <v/>
      </c>
      <c r="AX6" s="20" t="str">
        <f aca="false">IF(AND(AX$5&gt;=$E6,AX$5&lt;=$G6),1,"")</f>
        <v/>
      </c>
      <c r="AY6" s="20" t="str">
        <f aca="false">IF(AND(AY$5&gt;=$E6,AY$5&lt;=$G6),1,"")</f>
        <v/>
      </c>
      <c r="AZ6" s="20" t="str">
        <f aca="false">IF(AND(AZ$5&gt;=$E6,AZ$5&lt;=$G6),1,"")</f>
        <v/>
      </c>
      <c r="BA6" s="20" t="str">
        <f aca="false">IF(AND(BA$5&gt;=$E6,BA$5&lt;=$G6),1,"")</f>
        <v/>
      </c>
      <c r="BB6" s="20" t="str">
        <f aca="false">IF(AND(BB$5&gt;=$E6,BB$5&lt;=$G6),1,"")</f>
        <v/>
      </c>
      <c r="BC6" s="20" t="str">
        <f aca="false">IF(AND(BC$5&gt;=$E6,BC$5&lt;=$G6),1,"")</f>
        <v/>
      </c>
      <c r="BD6" s="20" t="str">
        <f aca="false">IF(AND(BD$5&gt;=$E6,BD$5&lt;=$G6),1,"")</f>
        <v/>
      </c>
      <c r="BE6" s="20" t="str">
        <f aca="false">IF(AND(BE$5&gt;=$E6,BE$5&lt;=$G6),1,"")</f>
        <v/>
      </c>
      <c r="BF6" s="20" t="str">
        <f aca="false">IF(AND(BF$5&gt;=$E6,BF$5&lt;=$G6),1,"")</f>
        <v/>
      </c>
      <c r="BG6" s="20" t="str">
        <f aca="false">IF(AND(BG$5&gt;=$E6,BG$5&lt;=$G6),1,"")</f>
        <v/>
      </c>
      <c r="BH6" s="20" t="str">
        <f aca="false">IF(AND(BH$5&gt;=$E6,BH$5&lt;=$G6),1,"")</f>
        <v/>
      </c>
      <c r="BI6" s="20" t="str">
        <f aca="false">IF(AND(BI$5&gt;=$E6,BI$5&lt;=$G6),1,"")</f>
        <v/>
      </c>
    </row>
    <row r="7" customFormat="false" ht="15" hidden="false" customHeight="false" outlineLevel="0" collapsed="false">
      <c r="A7" s="4" t="s">
        <v>57</v>
      </c>
      <c r="B7" s="4" t="s">
        <v>54</v>
      </c>
      <c r="C7" s="4" t="s">
        <v>58</v>
      </c>
      <c r="D7" s="4" t="s">
        <v>59</v>
      </c>
      <c r="E7" s="18" t="n">
        <v>2</v>
      </c>
      <c r="F7" s="18" t="n">
        <v>3</v>
      </c>
      <c r="G7" s="4" t="n">
        <f aca="false">E7+F7-1</f>
        <v>4</v>
      </c>
      <c r="H7" s="19" t="n">
        <f aca="false">$C$3+(E7-1)*7</f>
        <v>46160</v>
      </c>
      <c r="I7" s="19" t="n">
        <f aca="false">$C$3+G7*7-3</f>
        <v>46178</v>
      </c>
      <c r="J7" s="20" t="str">
        <f aca="false">IF(AND(J$5&gt;=$E7,J$5&lt;=$G7),1,"")</f>
        <v/>
      </c>
      <c r="K7" s="20" t="n">
        <f aca="false">IF(AND(K$5&gt;=$E7,K$5&lt;=$G7),1,"")</f>
        <v>1</v>
      </c>
      <c r="L7" s="20" t="n">
        <f aca="false">IF(AND(L$5&gt;=$E7,L$5&lt;=$G7),1,"")</f>
        <v>1</v>
      </c>
      <c r="M7" s="20" t="n">
        <f aca="false">IF(AND(M$5&gt;=$E7,M$5&lt;=$G7),1,"")</f>
        <v>1</v>
      </c>
      <c r="N7" s="20" t="str">
        <f aca="false">IF(AND(N$5&gt;=$E7,N$5&lt;=$G7),1,"")</f>
        <v/>
      </c>
      <c r="O7" s="20" t="str">
        <f aca="false">IF(AND(O$5&gt;=$E7,O$5&lt;=$G7),1,"")</f>
        <v/>
      </c>
      <c r="P7" s="20" t="str">
        <f aca="false">IF(AND(P$5&gt;=$E7,P$5&lt;=$G7),1,"")</f>
        <v/>
      </c>
      <c r="Q7" s="20" t="str">
        <f aca="false">IF(AND(Q$5&gt;=$E7,Q$5&lt;=$G7),1,"")</f>
        <v/>
      </c>
      <c r="R7" s="20" t="str">
        <f aca="false">IF(AND(R$5&gt;=$E7,R$5&lt;=$G7),1,"")</f>
        <v/>
      </c>
      <c r="S7" s="20" t="str">
        <f aca="false">IF(AND(S$5&gt;=$E7,S$5&lt;=$G7),1,"")</f>
        <v/>
      </c>
      <c r="T7" s="20" t="str">
        <f aca="false">IF(AND(T$5&gt;=$E7,T$5&lt;=$G7),1,"")</f>
        <v/>
      </c>
      <c r="U7" s="20" t="str">
        <f aca="false">IF(AND(U$5&gt;=$E7,U$5&lt;=$G7),1,"")</f>
        <v/>
      </c>
      <c r="V7" s="20" t="str">
        <f aca="false">IF(AND(V$5&gt;=$E7,V$5&lt;=$G7),1,"")</f>
        <v/>
      </c>
      <c r="W7" s="20" t="str">
        <f aca="false">IF(AND(W$5&gt;=$E7,W$5&lt;=$G7),1,"")</f>
        <v/>
      </c>
      <c r="X7" s="20" t="str">
        <f aca="false">IF(AND(X$5&gt;=$E7,X$5&lt;=$G7),1,"")</f>
        <v/>
      </c>
      <c r="Y7" s="20" t="str">
        <f aca="false">IF(AND(Y$5&gt;=$E7,Y$5&lt;=$G7),1,"")</f>
        <v/>
      </c>
      <c r="Z7" s="20" t="str">
        <f aca="false">IF(AND(Z$5&gt;=$E7,Z$5&lt;=$G7),1,"")</f>
        <v/>
      </c>
      <c r="AA7" s="20" t="str">
        <f aca="false">IF(AND(AA$5&gt;=$E7,AA$5&lt;=$G7),1,"")</f>
        <v/>
      </c>
      <c r="AB7" s="20" t="str">
        <f aca="false">IF(AND(AB$5&gt;=$E7,AB$5&lt;=$G7),1,"")</f>
        <v/>
      </c>
      <c r="AC7" s="20" t="str">
        <f aca="false">IF(AND(AC$5&gt;=$E7,AC$5&lt;=$G7),1,"")</f>
        <v/>
      </c>
      <c r="AD7" s="20" t="str">
        <f aca="false">IF(AND(AD$5&gt;=$E7,AD$5&lt;=$G7),1,"")</f>
        <v/>
      </c>
      <c r="AE7" s="20" t="str">
        <f aca="false">IF(AND(AE$5&gt;=$E7,AE$5&lt;=$G7),1,"")</f>
        <v/>
      </c>
      <c r="AF7" s="20" t="str">
        <f aca="false">IF(AND(AF$5&gt;=$E7,AF$5&lt;=$G7),1,"")</f>
        <v/>
      </c>
      <c r="AG7" s="20" t="str">
        <f aca="false">IF(AND(AG$5&gt;=$E7,AG$5&lt;=$G7),1,"")</f>
        <v/>
      </c>
      <c r="AH7" s="20" t="str">
        <f aca="false">IF(AND(AH$5&gt;=$E7,AH$5&lt;=$G7),1,"")</f>
        <v/>
      </c>
      <c r="AI7" s="20" t="str">
        <f aca="false">IF(AND(AI$5&gt;=$E7,AI$5&lt;=$G7),1,"")</f>
        <v/>
      </c>
      <c r="AJ7" s="20" t="str">
        <f aca="false">IF(AND(AJ$5&gt;=$E7,AJ$5&lt;=$G7),1,"")</f>
        <v/>
      </c>
      <c r="AK7" s="20" t="str">
        <f aca="false">IF(AND(AK$5&gt;=$E7,AK$5&lt;=$G7),1,"")</f>
        <v/>
      </c>
      <c r="AL7" s="20" t="str">
        <f aca="false">IF(AND(AL$5&gt;=$E7,AL$5&lt;=$G7),1,"")</f>
        <v/>
      </c>
      <c r="AM7" s="20" t="str">
        <f aca="false">IF(AND(AM$5&gt;=$E7,AM$5&lt;=$G7),1,"")</f>
        <v/>
      </c>
      <c r="AN7" s="20" t="str">
        <f aca="false">IF(AND(AN$5&gt;=$E7,AN$5&lt;=$G7),1,"")</f>
        <v/>
      </c>
      <c r="AO7" s="20" t="str">
        <f aca="false">IF(AND(AO$5&gt;=$E7,AO$5&lt;=$G7),1,"")</f>
        <v/>
      </c>
      <c r="AP7" s="20" t="str">
        <f aca="false">IF(AND(AP$5&gt;=$E7,AP$5&lt;=$G7),1,"")</f>
        <v/>
      </c>
      <c r="AQ7" s="20" t="str">
        <f aca="false">IF(AND(AQ$5&gt;=$E7,AQ$5&lt;=$G7),1,"")</f>
        <v/>
      </c>
      <c r="AR7" s="20" t="str">
        <f aca="false">IF(AND(AR$5&gt;=$E7,AR$5&lt;=$G7),1,"")</f>
        <v/>
      </c>
      <c r="AS7" s="20" t="str">
        <f aca="false">IF(AND(AS$5&gt;=$E7,AS$5&lt;=$G7),1,"")</f>
        <v/>
      </c>
      <c r="AT7" s="20" t="str">
        <f aca="false">IF(AND(AT$5&gt;=$E7,AT$5&lt;=$G7),1,"")</f>
        <v/>
      </c>
      <c r="AU7" s="20" t="str">
        <f aca="false">IF(AND(AU$5&gt;=$E7,AU$5&lt;=$G7),1,"")</f>
        <v/>
      </c>
      <c r="AV7" s="20" t="str">
        <f aca="false">IF(AND(AV$5&gt;=$E7,AV$5&lt;=$G7),1,"")</f>
        <v/>
      </c>
      <c r="AW7" s="20" t="str">
        <f aca="false">IF(AND(AW$5&gt;=$E7,AW$5&lt;=$G7),1,"")</f>
        <v/>
      </c>
      <c r="AX7" s="20" t="str">
        <f aca="false">IF(AND(AX$5&gt;=$E7,AX$5&lt;=$G7),1,"")</f>
        <v/>
      </c>
      <c r="AY7" s="20" t="str">
        <f aca="false">IF(AND(AY$5&gt;=$E7,AY$5&lt;=$G7),1,"")</f>
        <v/>
      </c>
      <c r="AZ7" s="20" t="str">
        <f aca="false">IF(AND(AZ$5&gt;=$E7,AZ$5&lt;=$G7),1,"")</f>
        <v/>
      </c>
      <c r="BA7" s="20" t="str">
        <f aca="false">IF(AND(BA$5&gt;=$E7,BA$5&lt;=$G7),1,"")</f>
        <v/>
      </c>
      <c r="BB7" s="20" t="str">
        <f aca="false">IF(AND(BB$5&gt;=$E7,BB$5&lt;=$G7),1,"")</f>
        <v/>
      </c>
      <c r="BC7" s="20" t="str">
        <f aca="false">IF(AND(BC$5&gt;=$E7,BC$5&lt;=$G7),1,"")</f>
        <v/>
      </c>
      <c r="BD7" s="20" t="str">
        <f aca="false">IF(AND(BD$5&gt;=$E7,BD$5&lt;=$G7),1,"")</f>
        <v/>
      </c>
      <c r="BE7" s="20" t="str">
        <f aca="false">IF(AND(BE$5&gt;=$E7,BE$5&lt;=$G7),1,"")</f>
        <v/>
      </c>
      <c r="BF7" s="20" t="str">
        <f aca="false">IF(AND(BF$5&gt;=$E7,BF$5&lt;=$G7),1,"")</f>
        <v/>
      </c>
      <c r="BG7" s="20" t="str">
        <f aca="false">IF(AND(BG$5&gt;=$E7,BG$5&lt;=$G7),1,"")</f>
        <v/>
      </c>
      <c r="BH7" s="20" t="str">
        <f aca="false">IF(AND(BH$5&gt;=$E7,BH$5&lt;=$G7),1,"")</f>
        <v/>
      </c>
      <c r="BI7" s="20" t="str">
        <f aca="false">IF(AND(BI$5&gt;=$E7,BI$5&lt;=$G7),1,"")</f>
        <v/>
      </c>
    </row>
    <row r="8" customFormat="false" ht="15" hidden="false" customHeight="false" outlineLevel="0" collapsed="false">
      <c r="A8" s="4" t="s">
        <v>60</v>
      </c>
      <c r="B8" s="4" t="s">
        <v>61</v>
      </c>
      <c r="C8" s="4" t="s">
        <v>62</v>
      </c>
      <c r="D8" s="4" t="s">
        <v>63</v>
      </c>
      <c r="E8" s="18" t="n">
        <v>3</v>
      </c>
      <c r="F8" s="18" t="n">
        <v>4</v>
      </c>
      <c r="G8" s="4" t="n">
        <f aca="false">E8+F8-1</f>
        <v>6</v>
      </c>
      <c r="H8" s="19" t="n">
        <f aca="false">$C$3+(E8-1)*7</f>
        <v>46167</v>
      </c>
      <c r="I8" s="19" t="n">
        <f aca="false">$C$3+G8*7-3</f>
        <v>46192</v>
      </c>
      <c r="J8" s="20" t="str">
        <f aca="false">IF(AND(J$5&gt;=$E8,J$5&lt;=$G8),1,"")</f>
        <v/>
      </c>
      <c r="K8" s="20" t="str">
        <f aca="false">IF(AND(K$5&gt;=$E8,K$5&lt;=$G8),1,"")</f>
        <v/>
      </c>
      <c r="L8" s="20" t="n">
        <f aca="false">IF(AND(L$5&gt;=$E8,L$5&lt;=$G8),1,"")</f>
        <v>1</v>
      </c>
      <c r="M8" s="20" t="n">
        <f aca="false">IF(AND(M$5&gt;=$E8,M$5&lt;=$G8),1,"")</f>
        <v>1</v>
      </c>
      <c r="N8" s="20" t="n">
        <f aca="false">IF(AND(N$5&gt;=$E8,N$5&lt;=$G8),1,"")</f>
        <v>1</v>
      </c>
      <c r="O8" s="20" t="n">
        <f aca="false">IF(AND(O$5&gt;=$E8,O$5&lt;=$G8),1,"")</f>
        <v>1</v>
      </c>
      <c r="P8" s="20" t="str">
        <f aca="false">IF(AND(P$5&gt;=$E8,P$5&lt;=$G8),1,"")</f>
        <v/>
      </c>
      <c r="Q8" s="20" t="str">
        <f aca="false">IF(AND(Q$5&gt;=$E8,Q$5&lt;=$G8),1,"")</f>
        <v/>
      </c>
      <c r="R8" s="20" t="str">
        <f aca="false">IF(AND(R$5&gt;=$E8,R$5&lt;=$G8),1,"")</f>
        <v/>
      </c>
      <c r="S8" s="20" t="str">
        <f aca="false">IF(AND(S$5&gt;=$E8,S$5&lt;=$G8),1,"")</f>
        <v/>
      </c>
      <c r="T8" s="20" t="str">
        <f aca="false">IF(AND(T$5&gt;=$E8,T$5&lt;=$G8),1,"")</f>
        <v/>
      </c>
      <c r="U8" s="20" t="str">
        <f aca="false">IF(AND(U$5&gt;=$E8,U$5&lt;=$G8),1,"")</f>
        <v/>
      </c>
      <c r="V8" s="20" t="str">
        <f aca="false">IF(AND(V$5&gt;=$E8,V$5&lt;=$G8),1,"")</f>
        <v/>
      </c>
      <c r="W8" s="20" t="str">
        <f aca="false">IF(AND(W$5&gt;=$E8,W$5&lt;=$G8),1,"")</f>
        <v/>
      </c>
      <c r="X8" s="20" t="str">
        <f aca="false">IF(AND(X$5&gt;=$E8,X$5&lt;=$G8),1,"")</f>
        <v/>
      </c>
      <c r="Y8" s="20" t="str">
        <f aca="false">IF(AND(Y$5&gt;=$E8,Y$5&lt;=$G8),1,"")</f>
        <v/>
      </c>
      <c r="Z8" s="20" t="str">
        <f aca="false">IF(AND(Z$5&gt;=$E8,Z$5&lt;=$G8),1,"")</f>
        <v/>
      </c>
      <c r="AA8" s="20" t="str">
        <f aca="false">IF(AND(AA$5&gt;=$E8,AA$5&lt;=$G8),1,"")</f>
        <v/>
      </c>
      <c r="AB8" s="20" t="str">
        <f aca="false">IF(AND(AB$5&gt;=$E8,AB$5&lt;=$G8),1,"")</f>
        <v/>
      </c>
      <c r="AC8" s="20" t="str">
        <f aca="false">IF(AND(AC$5&gt;=$E8,AC$5&lt;=$G8),1,"")</f>
        <v/>
      </c>
      <c r="AD8" s="20" t="str">
        <f aca="false">IF(AND(AD$5&gt;=$E8,AD$5&lt;=$G8),1,"")</f>
        <v/>
      </c>
      <c r="AE8" s="20" t="str">
        <f aca="false">IF(AND(AE$5&gt;=$E8,AE$5&lt;=$G8),1,"")</f>
        <v/>
      </c>
      <c r="AF8" s="20" t="str">
        <f aca="false">IF(AND(AF$5&gt;=$E8,AF$5&lt;=$G8),1,"")</f>
        <v/>
      </c>
      <c r="AG8" s="20" t="str">
        <f aca="false">IF(AND(AG$5&gt;=$E8,AG$5&lt;=$G8),1,"")</f>
        <v/>
      </c>
      <c r="AH8" s="20" t="str">
        <f aca="false">IF(AND(AH$5&gt;=$E8,AH$5&lt;=$G8),1,"")</f>
        <v/>
      </c>
      <c r="AI8" s="20" t="str">
        <f aca="false">IF(AND(AI$5&gt;=$E8,AI$5&lt;=$G8),1,"")</f>
        <v/>
      </c>
      <c r="AJ8" s="20" t="str">
        <f aca="false">IF(AND(AJ$5&gt;=$E8,AJ$5&lt;=$G8),1,"")</f>
        <v/>
      </c>
      <c r="AK8" s="20" t="str">
        <f aca="false">IF(AND(AK$5&gt;=$E8,AK$5&lt;=$G8),1,"")</f>
        <v/>
      </c>
      <c r="AL8" s="20" t="str">
        <f aca="false">IF(AND(AL$5&gt;=$E8,AL$5&lt;=$G8),1,"")</f>
        <v/>
      </c>
      <c r="AM8" s="20" t="str">
        <f aca="false">IF(AND(AM$5&gt;=$E8,AM$5&lt;=$G8),1,"")</f>
        <v/>
      </c>
      <c r="AN8" s="20" t="str">
        <f aca="false">IF(AND(AN$5&gt;=$E8,AN$5&lt;=$G8),1,"")</f>
        <v/>
      </c>
      <c r="AO8" s="20" t="str">
        <f aca="false">IF(AND(AO$5&gt;=$E8,AO$5&lt;=$G8),1,"")</f>
        <v/>
      </c>
      <c r="AP8" s="20" t="str">
        <f aca="false">IF(AND(AP$5&gt;=$E8,AP$5&lt;=$G8),1,"")</f>
        <v/>
      </c>
      <c r="AQ8" s="20" t="str">
        <f aca="false">IF(AND(AQ$5&gt;=$E8,AQ$5&lt;=$G8),1,"")</f>
        <v/>
      </c>
      <c r="AR8" s="20" t="str">
        <f aca="false">IF(AND(AR$5&gt;=$E8,AR$5&lt;=$G8),1,"")</f>
        <v/>
      </c>
      <c r="AS8" s="20" t="str">
        <f aca="false">IF(AND(AS$5&gt;=$E8,AS$5&lt;=$G8),1,"")</f>
        <v/>
      </c>
      <c r="AT8" s="20" t="str">
        <f aca="false">IF(AND(AT$5&gt;=$E8,AT$5&lt;=$G8),1,"")</f>
        <v/>
      </c>
      <c r="AU8" s="20" t="str">
        <f aca="false">IF(AND(AU$5&gt;=$E8,AU$5&lt;=$G8),1,"")</f>
        <v/>
      </c>
      <c r="AV8" s="20" t="str">
        <f aca="false">IF(AND(AV$5&gt;=$E8,AV$5&lt;=$G8),1,"")</f>
        <v/>
      </c>
      <c r="AW8" s="20" t="str">
        <f aca="false">IF(AND(AW$5&gt;=$E8,AW$5&lt;=$G8),1,"")</f>
        <v/>
      </c>
      <c r="AX8" s="20" t="str">
        <f aca="false">IF(AND(AX$5&gt;=$E8,AX$5&lt;=$G8),1,"")</f>
        <v/>
      </c>
      <c r="AY8" s="20" t="str">
        <f aca="false">IF(AND(AY$5&gt;=$E8,AY$5&lt;=$G8),1,"")</f>
        <v/>
      </c>
      <c r="AZ8" s="20" t="str">
        <f aca="false">IF(AND(AZ$5&gt;=$E8,AZ$5&lt;=$G8),1,"")</f>
        <v/>
      </c>
      <c r="BA8" s="20" t="str">
        <f aca="false">IF(AND(BA$5&gt;=$E8,BA$5&lt;=$G8),1,"")</f>
        <v/>
      </c>
      <c r="BB8" s="20" t="str">
        <f aca="false">IF(AND(BB$5&gt;=$E8,BB$5&lt;=$G8),1,"")</f>
        <v/>
      </c>
      <c r="BC8" s="20" t="str">
        <f aca="false">IF(AND(BC$5&gt;=$E8,BC$5&lt;=$G8),1,"")</f>
        <v/>
      </c>
      <c r="BD8" s="20" t="str">
        <f aca="false">IF(AND(BD$5&gt;=$E8,BD$5&lt;=$G8),1,"")</f>
        <v/>
      </c>
      <c r="BE8" s="20" t="str">
        <f aca="false">IF(AND(BE$5&gt;=$E8,BE$5&lt;=$G8),1,"")</f>
        <v/>
      </c>
      <c r="BF8" s="20" t="str">
        <f aca="false">IF(AND(BF$5&gt;=$E8,BF$5&lt;=$G8),1,"")</f>
        <v/>
      </c>
      <c r="BG8" s="20" t="str">
        <f aca="false">IF(AND(BG$5&gt;=$E8,BG$5&lt;=$G8),1,"")</f>
        <v/>
      </c>
      <c r="BH8" s="20" t="str">
        <f aca="false">IF(AND(BH$5&gt;=$E8,BH$5&lt;=$G8),1,"")</f>
        <v/>
      </c>
      <c r="BI8" s="20" t="str">
        <f aca="false">IF(AND(BI$5&gt;=$E8,BI$5&lt;=$G8),1,"")</f>
        <v/>
      </c>
    </row>
    <row r="9" customFormat="false" ht="15" hidden="false" customHeight="false" outlineLevel="0" collapsed="false">
      <c r="A9" s="4" t="s">
        <v>64</v>
      </c>
      <c r="B9" s="4" t="s">
        <v>61</v>
      </c>
      <c r="C9" s="4" t="s">
        <v>65</v>
      </c>
      <c r="D9" s="4" t="s">
        <v>56</v>
      </c>
      <c r="E9" s="18" t="n">
        <v>7</v>
      </c>
      <c r="F9" s="18" t="n">
        <v>4</v>
      </c>
      <c r="G9" s="4" t="n">
        <f aca="false">E9+F9-1</f>
        <v>10</v>
      </c>
      <c r="H9" s="19" t="n">
        <f aca="false">$C$3+(E9-1)*7</f>
        <v>46195</v>
      </c>
      <c r="I9" s="19" t="n">
        <f aca="false">$C$3+G9*7-3</f>
        <v>46220</v>
      </c>
      <c r="J9" s="20" t="str">
        <f aca="false">IF(AND(J$5&gt;=$E9,J$5&lt;=$G9),1,"")</f>
        <v/>
      </c>
      <c r="K9" s="20" t="str">
        <f aca="false">IF(AND(K$5&gt;=$E9,K$5&lt;=$G9),1,"")</f>
        <v/>
      </c>
      <c r="L9" s="20" t="str">
        <f aca="false">IF(AND(L$5&gt;=$E9,L$5&lt;=$G9),1,"")</f>
        <v/>
      </c>
      <c r="M9" s="20" t="str">
        <f aca="false">IF(AND(M$5&gt;=$E9,M$5&lt;=$G9),1,"")</f>
        <v/>
      </c>
      <c r="N9" s="20" t="str">
        <f aca="false">IF(AND(N$5&gt;=$E9,N$5&lt;=$G9),1,"")</f>
        <v/>
      </c>
      <c r="O9" s="20" t="str">
        <f aca="false">IF(AND(O$5&gt;=$E9,O$5&lt;=$G9),1,"")</f>
        <v/>
      </c>
      <c r="P9" s="20" t="n">
        <f aca="false">IF(AND(P$5&gt;=$E9,P$5&lt;=$G9),1,"")</f>
        <v>1</v>
      </c>
      <c r="Q9" s="20" t="n">
        <f aca="false">IF(AND(Q$5&gt;=$E9,Q$5&lt;=$G9),1,"")</f>
        <v>1</v>
      </c>
      <c r="R9" s="20" t="n">
        <f aca="false">IF(AND(R$5&gt;=$E9,R$5&lt;=$G9),1,"")</f>
        <v>1</v>
      </c>
      <c r="S9" s="20" t="n">
        <f aca="false">IF(AND(S$5&gt;=$E9,S$5&lt;=$G9),1,"")</f>
        <v>1</v>
      </c>
      <c r="T9" s="20" t="str">
        <f aca="false">IF(AND(T$5&gt;=$E9,T$5&lt;=$G9),1,"")</f>
        <v/>
      </c>
      <c r="U9" s="20" t="str">
        <f aca="false">IF(AND(U$5&gt;=$E9,U$5&lt;=$G9),1,"")</f>
        <v/>
      </c>
      <c r="V9" s="20" t="str">
        <f aca="false">IF(AND(V$5&gt;=$E9,V$5&lt;=$G9),1,"")</f>
        <v/>
      </c>
      <c r="W9" s="20" t="str">
        <f aca="false">IF(AND(W$5&gt;=$E9,W$5&lt;=$G9),1,"")</f>
        <v/>
      </c>
      <c r="X9" s="20" t="str">
        <f aca="false">IF(AND(X$5&gt;=$E9,X$5&lt;=$G9),1,"")</f>
        <v/>
      </c>
      <c r="Y9" s="20" t="str">
        <f aca="false">IF(AND(Y$5&gt;=$E9,Y$5&lt;=$G9),1,"")</f>
        <v/>
      </c>
      <c r="Z9" s="20" t="str">
        <f aca="false">IF(AND(Z$5&gt;=$E9,Z$5&lt;=$G9),1,"")</f>
        <v/>
      </c>
      <c r="AA9" s="20" t="str">
        <f aca="false">IF(AND(AA$5&gt;=$E9,AA$5&lt;=$G9),1,"")</f>
        <v/>
      </c>
      <c r="AB9" s="20" t="str">
        <f aca="false">IF(AND(AB$5&gt;=$E9,AB$5&lt;=$G9),1,"")</f>
        <v/>
      </c>
      <c r="AC9" s="20" t="str">
        <f aca="false">IF(AND(AC$5&gt;=$E9,AC$5&lt;=$G9),1,"")</f>
        <v/>
      </c>
      <c r="AD9" s="20" t="str">
        <f aca="false">IF(AND(AD$5&gt;=$E9,AD$5&lt;=$G9),1,"")</f>
        <v/>
      </c>
      <c r="AE9" s="20" t="str">
        <f aca="false">IF(AND(AE$5&gt;=$E9,AE$5&lt;=$G9),1,"")</f>
        <v/>
      </c>
      <c r="AF9" s="20" t="str">
        <f aca="false">IF(AND(AF$5&gt;=$E9,AF$5&lt;=$G9),1,"")</f>
        <v/>
      </c>
      <c r="AG9" s="20" t="str">
        <f aca="false">IF(AND(AG$5&gt;=$E9,AG$5&lt;=$G9),1,"")</f>
        <v/>
      </c>
      <c r="AH9" s="20" t="str">
        <f aca="false">IF(AND(AH$5&gt;=$E9,AH$5&lt;=$G9),1,"")</f>
        <v/>
      </c>
      <c r="AI9" s="20" t="str">
        <f aca="false">IF(AND(AI$5&gt;=$E9,AI$5&lt;=$G9),1,"")</f>
        <v/>
      </c>
      <c r="AJ9" s="20" t="str">
        <f aca="false">IF(AND(AJ$5&gt;=$E9,AJ$5&lt;=$G9),1,"")</f>
        <v/>
      </c>
      <c r="AK9" s="20" t="str">
        <f aca="false">IF(AND(AK$5&gt;=$E9,AK$5&lt;=$G9),1,"")</f>
        <v/>
      </c>
      <c r="AL9" s="20" t="str">
        <f aca="false">IF(AND(AL$5&gt;=$E9,AL$5&lt;=$G9),1,"")</f>
        <v/>
      </c>
      <c r="AM9" s="20" t="str">
        <f aca="false">IF(AND(AM$5&gt;=$E9,AM$5&lt;=$G9),1,"")</f>
        <v/>
      </c>
      <c r="AN9" s="20" t="str">
        <f aca="false">IF(AND(AN$5&gt;=$E9,AN$5&lt;=$G9),1,"")</f>
        <v/>
      </c>
      <c r="AO9" s="20" t="str">
        <f aca="false">IF(AND(AO$5&gt;=$E9,AO$5&lt;=$G9),1,"")</f>
        <v/>
      </c>
      <c r="AP9" s="20" t="str">
        <f aca="false">IF(AND(AP$5&gt;=$E9,AP$5&lt;=$G9),1,"")</f>
        <v/>
      </c>
      <c r="AQ9" s="20" t="str">
        <f aca="false">IF(AND(AQ$5&gt;=$E9,AQ$5&lt;=$G9),1,"")</f>
        <v/>
      </c>
      <c r="AR9" s="20" t="str">
        <f aca="false">IF(AND(AR$5&gt;=$E9,AR$5&lt;=$G9),1,"")</f>
        <v/>
      </c>
      <c r="AS9" s="20" t="str">
        <f aca="false">IF(AND(AS$5&gt;=$E9,AS$5&lt;=$G9),1,"")</f>
        <v/>
      </c>
      <c r="AT9" s="20" t="str">
        <f aca="false">IF(AND(AT$5&gt;=$E9,AT$5&lt;=$G9),1,"")</f>
        <v/>
      </c>
      <c r="AU9" s="20" t="str">
        <f aca="false">IF(AND(AU$5&gt;=$E9,AU$5&lt;=$G9),1,"")</f>
        <v/>
      </c>
      <c r="AV9" s="20" t="str">
        <f aca="false">IF(AND(AV$5&gt;=$E9,AV$5&lt;=$G9),1,"")</f>
        <v/>
      </c>
      <c r="AW9" s="20" t="str">
        <f aca="false">IF(AND(AW$5&gt;=$E9,AW$5&lt;=$G9),1,"")</f>
        <v/>
      </c>
      <c r="AX9" s="20" t="str">
        <f aca="false">IF(AND(AX$5&gt;=$E9,AX$5&lt;=$G9),1,"")</f>
        <v/>
      </c>
      <c r="AY9" s="20" t="str">
        <f aca="false">IF(AND(AY$5&gt;=$E9,AY$5&lt;=$G9),1,"")</f>
        <v/>
      </c>
      <c r="AZ9" s="20" t="str">
        <f aca="false">IF(AND(AZ$5&gt;=$E9,AZ$5&lt;=$G9),1,"")</f>
        <v/>
      </c>
      <c r="BA9" s="20" t="str">
        <f aca="false">IF(AND(BA$5&gt;=$E9,BA$5&lt;=$G9),1,"")</f>
        <v/>
      </c>
      <c r="BB9" s="20" t="str">
        <f aca="false">IF(AND(BB$5&gt;=$E9,BB$5&lt;=$G9),1,"")</f>
        <v/>
      </c>
      <c r="BC9" s="20" t="str">
        <f aca="false">IF(AND(BC$5&gt;=$E9,BC$5&lt;=$G9),1,"")</f>
        <v/>
      </c>
      <c r="BD9" s="20" t="str">
        <f aca="false">IF(AND(BD$5&gt;=$E9,BD$5&lt;=$G9),1,"")</f>
        <v/>
      </c>
      <c r="BE9" s="20" t="str">
        <f aca="false">IF(AND(BE$5&gt;=$E9,BE$5&lt;=$G9),1,"")</f>
        <v/>
      </c>
      <c r="BF9" s="20" t="str">
        <f aca="false">IF(AND(BF$5&gt;=$E9,BF$5&lt;=$G9),1,"")</f>
        <v/>
      </c>
      <c r="BG9" s="20" t="str">
        <f aca="false">IF(AND(BG$5&gt;=$E9,BG$5&lt;=$G9),1,"")</f>
        <v/>
      </c>
      <c r="BH9" s="20" t="str">
        <f aca="false">IF(AND(BH$5&gt;=$E9,BH$5&lt;=$G9),1,"")</f>
        <v/>
      </c>
      <c r="BI9" s="20" t="str">
        <f aca="false">IF(AND(BI$5&gt;=$E9,BI$5&lt;=$G9),1,"")</f>
        <v/>
      </c>
    </row>
    <row r="10" customFormat="false" ht="15" hidden="false" customHeight="false" outlineLevel="0" collapsed="false">
      <c r="A10" s="4" t="s">
        <v>66</v>
      </c>
      <c r="B10" s="4" t="s">
        <v>67</v>
      </c>
      <c r="C10" s="4" t="s">
        <v>68</v>
      </c>
      <c r="D10" s="4" t="s">
        <v>69</v>
      </c>
      <c r="E10" s="18" t="n">
        <v>5</v>
      </c>
      <c r="F10" s="18" t="n">
        <v>10</v>
      </c>
      <c r="G10" s="4" t="n">
        <f aca="false">E10+F10-1</f>
        <v>14</v>
      </c>
      <c r="H10" s="19" t="n">
        <f aca="false">$C$3+(E10-1)*7</f>
        <v>46181</v>
      </c>
      <c r="I10" s="19" t="n">
        <f aca="false">$C$3+G10*7-3</f>
        <v>46248</v>
      </c>
      <c r="J10" s="20" t="str">
        <f aca="false">IF(AND(J$5&gt;=$E10,J$5&lt;=$G10),1,"")</f>
        <v/>
      </c>
      <c r="K10" s="20" t="str">
        <f aca="false">IF(AND(K$5&gt;=$E10,K$5&lt;=$G10),1,"")</f>
        <v/>
      </c>
      <c r="L10" s="20" t="str">
        <f aca="false">IF(AND(L$5&gt;=$E10,L$5&lt;=$G10),1,"")</f>
        <v/>
      </c>
      <c r="M10" s="20" t="str">
        <f aca="false">IF(AND(M$5&gt;=$E10,M$5&lt;=$G10),1,"")</f>
        <v/>
      </c>
      <c r="N10" s="20" t="n">
        <f aca="false">IF(AND(N$5&gt;=$E10,N$5&lt;=$G10),1,"")</f>
        <v>1</v>
      </c>
      <c r="O10" s="20" t="n">
        <f aca="false">IF(AND(O$5&gt;=$E10,O$5&lt;=$G10),1,"")</f>
        <v>1</v>
      </c>
      <c r="P10" s="20" t="n">
        <f aca="false">IF(AND(P$5&gt;=$E10,P$5&lt;=$G10),1,"")</f>
        <v>1</v>
      </c>
      <c r="Q10" s="20" t="n">
        <f aca="false">IF(AND(Q$5&gt;=$E10,Q$5&lt;=$G10),1,"")</f>
        <v>1</v>
      </c>
      <c r="R10" s="20" t="n">
        <f aca="false">IF(AND(R$5&gt;=$E10,R$5&lt;=$G10),1,"")</f>
        <v>1</v>
      </c>
      <c r="S10" s="20" t="n">
        <f aca="false">IF(AND(S$5&gt;=$E10,S$5&lt;=$G10),1,"")</f>
        <v>1</v>
      </c>
      <c r="T10" s="20" t="n">
        <f aca="false">IF(AND(T$5&gt;=$E10,T$5&lt;=$G10),1,"")</f>
        <v>1</v>
      </c>
      <c r="U10" s="20" t="n">
        <f aca="false">IF(AND(U$5&gt;=$E10,U$5&lt;=$G10),1,"")</f>
        <v>1</v>
      </c>
      <c r="V10" s="20" t="n">
        <f aca="false">IF(AND(V$5&gt;=$E10,V$5&lt;=$G10),1,"")</f>
        <v>1</v>
      </c>
      <c r="W10" s="20" t="n">
        <f aca="false">IF(AND(W$5&gt;=$E10,W$5&lt;=$G10),1,"")</f>
        <v>1</v>
      </c>
      <c r="X10" s="20" t="str">
        <f aca="false">IF(AND(X$5&gt;=$E10,X$5&lt;=$G10),1,"")</f>
        <v/>
      </c>
      <c r="Y10" s="20" t="str">
        <f aca="false">IF(AND(Y$5&gt;=$E10,Y$5&lt;=$G10),1,"")</f>
        <v/>
      </c>
      <c r="Z10" s="20" t="str">
        <f aca="false">IF(AND(Z$5&gt;=$E10,Z$5&lt;=$G10),1,"")</f>
        <v/>
      </c>
      <c r="AA10" s="20" t="str">
        <f aca="false">IF(AND(AA$5&gt;=$E10,AA$5&lt;=$G10),1,"")</f>
        <v/>
      </c>
      <c r="AB10" s="20" t="str">
        <f aca="false">IF(AND(AB$5&gt;=$E10,AB$5&lt;=$G10),1,"")</f>
        <v/>
      </c>
      <c r="AC10" s="20" t="str">
        <f aca="false">IF(AND(AC$5&gt;=$E10,AC$5&lt;=$G10),1,"")</f>
        <v/>
      </c>
      <c r="AD10" s="20" t="str">
        <f aca="false">IF(AND(AD$5&gt;=$E10,AD$5&lt;=$G10),1,"")</f>
        <v/>
      </c>
      <c r="AE10" s="20" t="str">
        <f aca="false">IF(AND(AE$5&gt;=$E10,AE$5&lt;=$G10),1,"")</f>
        <v/>
      </c>
      <c r="AF10" s="20" t="str">
        <f aca="false">IF(AND(AF$5&gt;=$E10,AF$5&lt;=$G10),1,"")</f>
        <v/>
      </c>
      <c r="AG10" s="20" t="str">
        <f aca="false">IF(AND(AG$5&gt;=$E10,AG$5&lt;=$G10),1,"")</f>
        <v/>
      </c>
      <c r="AH10" s="20" t="str">
        <f aca="false">IF(AND(AH$5&gt;=$E10,AH$5&lt;=$G10),1,"")</f>
        <v/>
      </c>
      <c r="AI10" s="20" t="str">
        <f aca="false">IF(AND(AI$5&gt;=$E10,AI$5&lt;=$G10),1,"")</f>
        <v/>
      </c>
      <c r="AJ10" s="20" t="str">
        <f aca="false">IF(AND(AJ$5&gt;=$E10,AJ$5&lt;=$G10),1,"")</f>
        <v/>
      </c>
      <c r="AK10" s="20" t="str">
        <f aca="false">IF(AND(AK$5&gt;=$E10,AK$5&lt;=$G10),1,"")</f>
        <v/>
      </c>
      <c r="AL10" s="20" t="str">
        <f aca="false">IF(AND(AL$5&gt;=$E10,AL$5&lt;=$G10),1,"")</f>
        <v/>
      </c>
      <c r="AM10" s="20" t="str">
        <f aca="false">IF(AND(AM$5&gt;=$E10,AM$5&lt;=$G10),1,"")</f>
        <v/>
      </c>
      <c r="AN10" s="20" t="str">
        <f aca="false">IF(AND(AN$5&gt;=$E10,AN$5&lt;=$G10),1,"")</f>
        <v/>
      </c>
      <c r="AO10" s="20" t="str">
        <f aca="false">IF(AND(AO$5&gt;=$E10,AO$5&lt;=$G10),1,"")</f>
        <v/>
      </c>
      <c r="AP10" s="20" t="str">
        <f aca="false">IF(AND(AP$5&gt;=$E10,AP$5&lt;=$G10),1,"")</f>
        <v/>
      </c>
      <c r="AQ10" s="20" t="str">
        <f aca="false">IF(AND(AQ$5&gt;=$E10,AQ$5&lt;=$G10),1,"")</f>
        <v/>
      </c>
      <c r="AR10" s="20" t="str">
        <f aca="false">IF(AND(AR$5&gt;=$E10,AR$5&lt;=$G10),1,"")</f>
        <v/>
      </c>
      <c r="AS10" s="20" t="str">
        <f aca="false">IF(AND(AS$5&gt;=$E10,AS$5&lt;=$G10),1,"")</f>
        <v/>
      </c>
      <c r="AT10" s="20" t="str">
        <f aca="false">IF(AND(AT$5&gt;=$E10,AT$5&lt;=$G10),1,"")</f>
        <v/>
      </c>
      <c r="AU10" s="20" t="str">
        <f aca="false">IF(AND(AU$5&gt;=$E10,AU$5&lt;=$G10),1,"")</f>
        <v/>
      </c>
      <c r="AV10" s="20" t="str">
        <f aca="false">IF(AND(AV$5&gt;=$E10,AV$5&lt;=$G10),1,"")</f>
        <v/>
      </c>
      <c r="AW10" s="20" t="str">
        <f aca="false">IF(AND(AW$5&gt;=$E10,AW$5&lt;=$G10),1,"")</f>
        <v/>
      </c>
      <c r="AX10" s="20" t="str">
        <f aca="false">IF(AND(AX$5&gt;=$E10,AX$5&lt;=$G10),1,"")</f>
        <v/>
      </c>
      <c r="AY10" s="20" t="str">
        <f aca="false">IF(AND(AY$5&gt;=$E10,AY$5&lt;=$G10),1,"")</f>
        <v/>
      </c>
      <c r="AZ10" s="20" t="str">
        <f aca="false">IF(AND(AZ$5&gt;=$E10,AZ$5&lt;=$G10),1,"")</f>
        <v/>
      </c>
      <c r="BA10" s="20" t="str">
        <f aca="false">IF(AND(BA$5&gt;=$E10,BA$5&lt;=$G10),1,"")</f>
        <v/>
      </c>
      <c r="BB10" s="20" t="str">
        <f aca="false">IF(AND(BB$5&gt;=$E10,BB$5&lt;=$G10),1,"")</f>
        <v/>
      </c>
      <c r="BC10" s="20" t="str">
        <f aca="false">IF(AND(BC$5&gt;=$E10,BC$5&lt;=$G10),1,"")</f>
        <v/>
      </c>
      <c r="BD10" s="20" t="str">
        <f aca="false">IF(AND(BD$5&gt;=$E10,BD$5&lt;=$G10),1,"")</f>
        <v/>
      </c>
      <c r="BE10" s="20" t="str">
        <f aca="false">IF(AND(BE$5&gt;=$E10,BE$5&lt;=$G10),1,"")</f>
        <v/>
      </c>
      <c r="BF10" s="20" t="str">
        <f aca="false">IF(AND(BF$5&gt;=$E10,BF$5&lt;=$G10),1,"")</f>
        <v/>
      </c>
      <c r="BG10" s="20" t="str">
        <f aca="false">IF(AND(BG$5&gt;=$E10,BG$5&lt;=$G10),1,"")</f>
        <v/>
      </c>
      <c r="BH10" s="20" t="str">
        <f aca="false">IF(AND(BH$5&gt;=$E10,BH$5&lt;=$G10),1,"")</f>
        <v/>
      </c>
      <c r="BI10" s="20" t="str">
        <f aca="false">IF(AND(BI$5&gt;=$E10,BI$5&lt;=$G10),1,"")</f>
        <v/>
      </c>
    </row>
    <row r="11" customFormat="false" ht="15" hidden="false" customHeight="false" outlineLevel="0" collapsed="false">
      <c r="A11" s="4" t="s">
        <v>70</v>
      </c>
      <c r="B11" s="4" t="s">
        <v>67</v>
      </c>
      <c r="C11" s="4" t="s">
        <v>71</v>
      </c>
      <c r="D11" s="4" t="s">
        <v>69</v>
      </c>
      <c r="E11" s="18" t="n">
        <v>13</v>
      </c>
      <c r="F11" s="18" t="n">
        <v>12</v>
      </c>
      <c r="G11" s="4" t="n">
        <f aca="false">E11+F11-1</f>
        <v>24</v>
      </c>
      <c r="H11" s="19" t="n">
        <f aca="false">$C$3+(E11-1)*7</f>
        <v>46237</v>
      </c>
      <c r="I11" s="19" t="n">
        <f aca="false">$C$3+G11*7-3</f>
        <v>46318</v>
      </c>
      <c r="J11" s="20" t="str">
        <f aca="false">IF(AND(J$5&gt;=$E11,J$5&lt;=$G11),1,"")</f>
        <v/>
      </c>
      <c r="K11" s="20" t="str">
        <f aca="false">IF(AND(K$5&gt;=$E11,K$5&lt;=$G11),1,"")</f>
        <v/>
      </c>
      <c r="L11" s="20" t="str">
        <f aca="false">IF(AND(L$5&gt;=$E11,L$5&lt;=$G11),1,"")</f>
        <v/>
      </c>
      <c r="M11" s="20" t="str">
        <f aca="false">IF(AND(M$5&gt;=$E11,M$5&lt;=$G11),1,"")</f>
        <v/>
      </c>
      <c r="N11" s="20" t="str">
        <f aca="false">IF(AND(N$5&gt;=$E11,N$5&lt;=$G11),1,"")</f>
        <v/>
      </c>
      <c r="O11" s="20" t="str">
        <f aca="false">IF(AND(O$5&gt;=$E11,O$5&lt;=$G11),1,"")</f>
        <v/>
      </c>
      <c r="P11" s="20" t="str">
        <f aca="false">IF(AND(P$5&gt;=$E11,P$5&lt;=$G11),1,"")</f>
        <v/>
      </c>
      <c r="Q11" s="20" t="str">
        <f aca="false">IF(AND(Q$5&gt;=$E11,Q$5&lt;=$G11),1,"")</f>
        <v/>
      </c>
      <c r="R11" s="20" t="str">
        <f aca="false">IF(AND(R$5&gt;=$E11,R$5&lt;=$G11),1,"")</f>
        <v/>
      </c>
      <c r="S11" s="20" t="str">
        <f aca="false">IF(AND(S$5&gt;=$E11,S$5&lt;=$G11),1,"")</f>
        <v/>
      </c>
      <c r="T11" s="20" t="str">
        <f aca="false">IF(AND(T$5&gt;=$E11,T$5&lt;=$G11),1,"")</f>
        <v/>
      </c>
      <c r="U11" s="20" t="str">
        <f aca="false">IF(AND(U$5&gt;=$E11,U$5&lt;=$G11),1,"")</f>
        <v/>
      </c>
      <c r="V11" s="20" t="n">
        <f aca="false">IF(AND(V$5&gt;=$E11,V$5&lt;=$G11),1,"")</f>
        <v>1</v>
      </c>
      <c r="W11" s="20" t="n">
        <f aca="false">IF(AND(W$5&gt;=$E11,W$5&lt;=$G11),1,"")</f>
        <v>1</v>
      </c>
      <c r="X11" s="20" t="n">
        <f aca="false">IF(AND(X$5&gt;=$E11,X$5&lt;=$G11),1,"")</f>
        <v>1</v>
      </c>
      <c r="Y11" s="20" t="n">
        <f aca="false">IF(AND(Y$5&gt;=$E11,Y$5&lt;=$G11),1,"")</f>
        <v>1</v>
      </c>
      <c r="Z11" s="20" t="n">
        <f aca="false">IF(AND(Z$5&gt;=$E11,Z$5&lt;=$G11),1,"")</f>
        <v>1</v>
      </c>
      <c r="AA11" s="20" t="n">
        <f aca="false">IF(AND(AA$5&gt;=$E11,AA$5&lt;=$G11),1,"")</f>
        <v>1</v>
      </c>
      <c r="AB11" s="20" t="n">
        <f aca="false">IF(AND(AB$5&gt;=$E11,AB$5&lt;=$G11),1,"")</f>
        <v>1</v>
      </c>
      <c r="AC11" s="20" t="n">
        <f aca="false">IF(AND(AC$5&gt;=$E11,AC$5&lt;=$G11),1,"")</f>
        <v>1</v>
      </c>
      <c r="AD11" s="20" t="n">
        <f aca="false">IF(AND(AD$5&gt;=$E11,AD$5&lt;=$G11),1,"")</f>
        <v>1</v>
      </c>
      <c r="AE11" s="20" t="n">
        <f aca="false">IF(AND(AE$5&gt;=$E11,AE$5&lt;=$G11),1,"")</f>
        <v>1</v>
      </c>
      <c r="AF11" s="20" t="n">
        <f aca="false">IF(AND(AF$5&gt;=$E11,AF$5&lt;=$G11),1,"")</f>
        <v>1</v>
      </c>
      <c r="AG11" s="20" t="n">
        <f aca="false">IF(AND(AG$5&gt;=$E11,AG$5&lt;=$G11),1,"")</f>
        <v>1</v>
      </c>
      <c r="AH11" s="20" t="str">
        <f aca="false">IF(AND(AH$5&gt;=$E11,AH$5&lt;=$G11),1,"")</f>
        <v/>
      </c>
      <c r="AI11" s="20" t="str">
        <f aca="false">IF(AND(AI$5&gt;=$E11,AI$5&lt;=$G11),1,"")</f>
        <v/>
      </c>
      <c r="AJ11" s="20" t="str">
        <f aca="false">IF(AND(AJ$5&gt;=$E11,AJ$5&lt;=$G11),1,"")</f>
        <v/>
      </c>
      <c r="AK11" s="20" t="str">
        <f aca="false">IF(AND(AK$5&gt;=$E11,AK$5&lt;=$G11),1,"")</f>
        <v/>
      </c>
      <c r="AL11" s="20" t="str">
        <f aca="false">IF(AND(AL$5&gt;=$E11,AL$5&lt;=$G11),1,"")</f>
        <v/>
      </c>
      <c r="AM11" s="20" t="str">
        <f aca="false">IF(AND(AM$5&gt;=$E11,AM$5&lt;=$G11),1,"")</f>
        <v/>
      </c>
      <c r="AN11" s="20" t="str">
        <f aca="false">IF(AND(AN$5&gt;=$E11,AN$5&lt;=$G11),1,"")</f>
        <v/>
      </c>
      <c r="AO11" s="20" t="str">
        <f aca="false">IF(AND(AO$5&gt;=$E11,AO$5&lt;=$G11),1,"")</f>
        <v/>
      </c>
      <c r="AP11" s="20" t="str">
        <f aca="false">IF(AND(AP$5&gt;=$E11,AP$5&lt;=$G11),1,"")</f>
        <v/>
      </c>
      <c r="AQ11" s="20" t="str">
        <f aca="false">IF(AND(AQ$5&gt;=$E11,AQ$5&lt;=$G11),1,"")</f>
        <v/>
      </c>
      <c r="AR11" s="20" t="str">
        <f aca="false">IF(AND(AR$5&gt;=$E11,AR$5&lt;=$G11),1,"")</f>
        <v/>
      </c>
      <c r="AS11" s="20" t="str">
        <f aca="false">IF(AND(AS$5&gt;=$E11,AS$5&lt;=$G11),1,"")</f>
        <v/>
      </c>
      <c r="AT11" s="20" t="str">
        <f aca="false">IF(AND(AT$5&gt;=$E11,AT$5&lt;=$G11),1,"")</f>
        <v/>
      </c>
      <c r="AU11" s="20" t="str">
        <f aca="false">IF(AND(AU$5&gt;=$E11,AU$5&lt;=$G11),1,"")</f>
        <v/>
      </c>
      <c r="AV11" s="20" t="str">
        <f aca="false">IF(AND(AV$5&gt;=$E11,AV$5&lt;=$G11),1,"")</f>
        <v/>
      </c>
      <c r="AW11" s="20" t="str">
        <f aca="false">IF(AND(AW$5&gt;=$E11,AW$5&lt;=$G11),1,"")</f>
        <v/>
      </c>
      <c r="AX11" s="20" t="str">
        <f aca="false">IF(AND(AX$5&gt;=$E11,AX$5&lt;=$G11),1,"")</f>
        <v/>
      </c>
      <c r="AY11" s="20" t="str">
        <f aca="false">IF(AND(AY$5&gt;=$E11,AY$5&lt;=$G11),1,"")</f>
        <v/>
      </c>
      <c r="AZ11" s="20" t="str">
        <f aca="false">IF(AND(AZ$5&gt;=$E11,AZ$5&lt;=$G11),1,"")</f>
        <v/>
      </c>
      <c r="BA11" s="20" t="str">
        <f aca="false">IF(AND(BA$5&gt;=$E11,BA$5&lt;=$G11),1,"")</f>
        <v/>
      </c>
      <c r="BB11" s="20" t="str">
        <f aca="false">IF(AND(BB$5&gt;=$E11,BB$5&lt;=$G11),1,"")</f>
        <v/>
      </c>
      <c r="BC11" s="20" t="str">
        <f aca="false">IF(AND(BC$5&gt;=$E11,BC$5&lt;=$G11),1,"")</f>
        <v/>
      </c>
      <c r="BD11" s="20" t="str">
        <f aca="false">IF(AND(BD$5&gt;=$E11,BD$5&lt;=$G11),1,"")</f>
        <v/>
      </c>
      <c r="BE11" s="20" t="str">
        <f aca="false">IF(AND(BE$5&gt;=$E11,BE$5&lt;=$G11),1,"")</f>
        <v/>
      </c>
      <c r="BF11" s="20" t="str">
        <f aca="false">IF(AND(BF$5&gt;=$E11,BF$5&lt;=$G11),1,"")</f>
        <v/>
      </c>
      <c r="BG11" s="20" t="str">
        <f aca="false">IF(AND(BG$5&gt;=$E11,BG$5&lt;=$G11),1,"")</f>
        <v/>
      </c>
      <c r="BH11" s="20" t="str">
        <f aca="false">IF(AND(BH$5&gt;=$E11,BH$5&lt;=$G11),1,"")</f>
        <v/>
      </c>
      <c r="BI11" s="20" t="str">
        <f aca="false">IF(AND(BI$5&gt;=$E11,BI$5&lt;=$G11),1,"")</f>
        <v/>
      </c>
    </row>
    <row r="12" customFormat="false" ht="15" hidden="false" customHeight="false" outlineLevel="0" collapsed="false">
      <c r="A12" s="4" t="s">
        <v>72</v>
      </c>
      <c r="B12" s="4" t="s">
        <v>67</v>
      </c>
      <c r="C12" s="4" t="s">
        <v>73</v>
      </c>
      <c r="D12" s="4" t="s">
        <v>69</v>
      </c>
      <c r="E12" s="18" t="n">
        <v>20</v>
      </c>
      <c r="F12" s="18" t="n">
        <v>16</v>
      </c>
      <c r="G12" s="4" t="n">
        <f aca="false">E12+F12-1</f>
        <v>35</v>
      </c>
      <c r="H12" s="19" t="n">
        <f aca="false">$C$3+(E12-1)*7</f>
        <v>46286</v>
      </c>
      <c r="I12" s="19" t="n">
        <f aca="false">$C$3+G12*7-3</f>
        <v>46395</v>
      </c>
      <c r="J12" s="20" t="str">
        <f aca="false">IF(AND(J$5&gt;=$E12,J$5&lt;=$G12),1,"")</f>
        <v/>
      </c>
      <c r="K12" s="20" t="str">
        <f aca="false">IF(AND(K$5&gt;=$E12,K$5&lt;=$G12),1,"")</f>
        <v/>
      </c>
      <c r="L12" s="20" t="str">
        <f aca="false">IF(AND(L$5&gt;=$E12,L$5&lt;=$G12),1,"")</f>
        <v/>
      </c>
      <c r="M12" s="20" t="str">
        <f aca="false">IF(AND(M$5&gt;=$E12,M$5&lt;=$G12),1,"")</f>
        <v/>
      </c>
      <c r="N12" s="20" t="str">
        <f aca="false">IF(AND(N$5&gt;=$E12,N$5&lt;=$G12),1,"")</f>
        <v/>
      </c>
      <c r="O12" s="20" t="str">
        <f aca="false">IF(AND(O$5&gt;=$E12,O$5&lt;=$G12),1,"")</f>
        <v/>
      </c>
      <c r="P12" s="20" t="str">
        <f aca="false">IF(AND(P$5&gt;=$E12,P$5&lt;=$G12),1,"")</f>
        <v/>
      </c>
      <c r="Q12" s="20" t="str">
        <f aca="false">IF(AND(Q$5&gt;=$E12,Q$5&lt;=$G12),1,"")</f>
        <v/>
      </c>
      <c r="R12" s="20" t="str">
        <f aca="false">IF(AND(R$5&gt;=$E12,R$5&lt;=$G12),1,"")</f>
        <v/>
      </c>
      <c r="S12" s="20" t="str">
        <f aca="false">IF(AND(S$5&gt;=$E12,S$5&lt;=$G12),1,"")</f>
        <v/>
      </c>
      <c r="T12" s="20" t="str">
        <f aca="false">IF(AND(T$5&gt;=$E12,T$5&lt;=$G12),1,"")</f>
        <v/>
      </c>
      <c r="U12" s="20" t="str">
        <f aca="false">IF(AND(U$5&gt;=$E12,U$5&lt;=$G12),1,"")</f>
        <v/>
      </c>
      <c r="V12" s="20" t="str">
        <f aca="false">IF(AND(V$5&gt;=$E12,V$5&lt;=$G12),1,"")</f>
        <v/>
      </c>
      <c r="W12" s="20" t="str">
        <f aca="false">IF(AND(W$5&gt;=$E12,W$5&lt;=$G12),1,"")</f>
        <v/>
      </c>
      <c r="X12" s="20" t="str">
        <f aca="false">IF(AND(X$5&gt;=$E12,X$5&lt;=$G12),1,"")</f>
        <v/>
      </c>
      <c r="Y12" s="20" t="str">
        <f aca="false">IF(AND(Y$5&gt;=$E12,Y$5&lt;=$G12),1,"")</f>
        <v/>
      </c>
      <c r="Z12" s="20" t="str">
        <f aca="false">IF(AND(Z$5&gt;=$E12,Z$5&lt;=$G12),1,"")</f>
        <v/>
      </c>
      <c r="AA12" s="20" t="str">
        <f aca="false">IF(AND(AA$5&gt;=$E12,AA$5&lt;=$G12),1,"")</f>
        <v/>
      </c>
      <c r="AB12" s="20" t="str">
        <f aca="false">IF(AND(AB$5&gt;=$E12,AB$5&lt;=$G12),1,"")</f>
        <v/>
      </c>
      <c r="AC12" s="20" t="n">
        <f aca="false">IF(AND(AC$5&gt;=$E12,AC$5&lt;=$G12),1,"")</f>
        <v>1</v>
      </c>
      <c r="AD12" s="20" t="n">
        <f aca="false">IF(AND(AD$5&gt;=$E12,AD$5&lt;=$G12),1,"")</f>
        <v>1</v>
      </c>
      <c r="AE12" s="20" t="n">
        <f aca="false">IF(AND(AE$5&gt;=$E12,AE$5&lt;=$G12),1,"")</f>
        <v>1</v>
      </c>
      <c r="AF12" s="20" t="n">
        <f aca="false">IF(AND(AF$5&gt;=$E12,AF$5&lt;=$G12),1,"")</f>
        <v>1</v>
      </c>
      <c r="AG12" s="20" t="n">
        <f aca="false">IF(AND(AG$5&gt;=$E12,AG$5&lt;=$G12),1,"")</f>
        <v>1</v>
      </c>
      <c r="AH12" s="20" t="n">
        <f aca="false">IF(AND(AH$5&gt;=$E12,AH$5&lt;=$G12),1,"")</f>
        <v>1</v>
      </c>
      <c r="AI12" s="20" t="n">
        <f aca="false">IF(AND(AI$5&gt;=$E12,AI$5&lt;=$G12),1,"")</f>
        <v>1</v>
      </c>
      <c r="AJ12" s="20" t="n">
        <f aca="false">IF(AND(AJ$5&gt;=$E12,AJ$5&lt;=$G12),1,"")</f>
        <v>1</v>
      </c>
      <c r="AK12" s="20" t="n">
        <f aca="false">IF(AND(AK$5&gt;=$E12,AK$5&lt;=$G12),1,"")</f>
        <v>1</v>
      </c>
      <c r="AL12" s="20" t="n">
        <f aca="false">IF(AND(AL$5&gt;=$E12,AL$5&lt;=$G12),1,"")</f>
        <v>1</v>
      </c>
      <c r="AM12" s="20" t="n">
        <f aca="false">IF(AND(AM$5&gt;=$E12,AM$5&lt;=$G12),1,"")</f>
        <v>1</v>
      </c>
      <c r="AN12" s="20" t="n">
        <f aca="false">IF(AND(AN$5&gt;=$E12,AN$5&lt;=$G12),1,"")</f>
        <v>1</v>
      </c>
      <c r="AO12" s="20" t="n">
        <f aca="false">IF(AND(AO$5&gt;=$E12,AO$5&lt;=$G12),1,"")</f>
        <v>1</v>
      </c>
      <c r="AP12" s="20" t="n">
        <f aca="false">IF(AND(AP$5&gt;=$E12,AP$5&lt;=$G12),1,"")</f>
        <v>1</v>
      </c>
      <c r="AQ12" s="20" t="n">
        <f aca="false">IF(AND(AQ$5&gt;=$E12,AQ$5&lt;=$G12),1,"")</f>
        <v>1</v>
      </c>
      <c r="AR12" s="20" t="n">
        <f aca="false">IF(AND(AR$5&gt;=$E12,AR$5&lt;=$G12),1,"")</f>
        <v>1</v>
      </c>
      <c r="AS12" s="20" t="str">
        <f aca="false">IF(AND(AS$5&gt;=$E12,AS$5&lt;=$G12),1,"")</f>
        <v/>
      </c>
      <c r="AT12" s="20" t="str">
        <f aca="false">IF(AND(AT$5&gt;=$E12,AT$5&lt;=$G12),1,"")</f>
        <v/>
      </c>
      <c r="AU12" s="20" t="str">
        <f aca="false">IF(AND(AU$5&gt;=$E12,AU$5&lt;=$G12),1,"")</f>
        <v/>
      </c>
      <c r="AV12" s="20" t="str">
        <f aca="false">IF(AND(AV$5&gt;=$E12,AV$5&lt;=$G12),1,"")</f>
        <v/>
      </c>
      <c r="AW12" s="20" t="str">
        <f aca="false">IF(AND(AW$5&gt;=$E12,AW$5&lt;=$G12),1,"")</f>
        <v/>
      </c>
      <c r="AX12" s="20" t="str">
        <f aca="false">IF(AND(AX$5&gt;=$E12,AX$5&lt;=$G12),1,"")</f>
        <v/>
      </c>
      <c r="AY12" s="20" t="str">
        <f aca="false">IF(AND(AY$5&gt;=$E12,AY$5&lt;=$G12),1,"")</f>
        <v/>
      </c>
      <c r="AZ12" s="20" t="str">
        <f aca="false">IF(AND(AZ$5&gt;=$E12,AZ$5&lt;=$G12),1,"")</f>
        <v/>
      </c>
      <c r="BA12" s="20" t="str">
        <f aca="false">IF(AND(BA$5&gt;=$E12,BA$5&lt;=$G12),1,"")</f>
        <v/>
      </c>
      <c r="BB12" s="20" t="str">
        <f aca="false">IF(AND(BB$5&gt;=$E12,BB$5&lt;=$G12),1,"")</f>
        <v/>
      </c>
      <c r="BC12" s="20" t="str">
        <f aca="false">IF(AND(BC$5&gt;=$E12,BC$5&lt;=$G12),1,"")</f>
        <v/>
      </c>
      <c r="BD12" s="20" t="str">
        <f aca="false">IF(AND(BD$5&gt;=$E12,BD$5&lt;=$G12),1,"")</f>
        <v/>
      </c>
      <c r="BE12" s="20" t="str">
        <f aca="false">IF(AND(BE$5&gt;=$E12,BE$5&lt;=$G12),1,"")</f>
        <v/>
      </c>
      <c r="BF12" s="20" t="str">
        <f aca="false">IF(AND(BF$5&gt;=$E12,BF$5&lt;=$G12),1,"")</f>
        <v/>
      </c>
      <c r="BG12" s="20" t="str">
        <f aca="false">IF(AND(BG$5&gt;=$E12,BG$5&lt;=$G12),1,"")</f>
        <v/>
      </c>
      <c r="BH12" s="20" t="str">
        <f aca="false">IF(AND(BH$5&gt;=$E12,BH$5&lt;=$G12),1,"")</f>
        <v/>
      </c>
      <c r="BI12" s="20" t="str">
        <f aca="false">IF(AND(BI$5&gt;=$E12,BI$5&lt;=$G12),1,"")</f>
        <v/>
      </c>
    </row>
    <row r="13" customFormat="false" ht="15" hidden="false" customHeight="false" outlineLevel="0" collapsed="false">
      <c r="A13" s="4" t="s">
        <v>74</v>
      </c>
      <c r="B13" s="4" t="s">
        <v>67</v>
      </c>
      <c r="C13" s="4" t="s">
        <v>75</v>
      </c>
      <c r="D13" s="4" t="s">
        <v>69</v>
      </c>
      <c r="E13" s="18" t="n">
        <v>34</v>
      </c>
      <c r="F13" s="18" t="n">
        <v>12</v>
      </c>
      <c r="G13" s="4" t="n">
        <f aca="false">E13+F13-1</f>
        <v>45</v>
      </c>
      <c r="H13" s="19" t="n">
        <f aca="false">$C$3+(E13-1)*7</f>
        <v>46384</v>
      </c>
      <c r="I13" s="19" t="n">
        <f aca="false">$C$3+G13*7-3</f>
        <v>46465</v>
      </c>
      <c r="J13" s="20" t="str">
        <f aca="false">IF(AND(J$5&gt;=$E13,J$5&lt;=$G13),1,"")</f>
        <v/>
      </c>
      <c r="K13" s="20" t="str">
        <f aca="false">IF(AND(K$5&gt;=$E13,K$5&lt;=$G13),1,"")</f>
        <v/>
      </c>
      <c r="L13" s="20" t="str">
        <f aca="false">IF(AND(L$5&gt;=$E13,L$5&lt;=$G13),1,"")</f>
        <v/>
      </c>
      <c r="M13" s="20" t="str">
        <f aca="false">IF(AND(M$5&gt;=$E13,M$5&lt;=$G13),1,"")</f>
        <v/>
      </c>
      <c r="N13" s="20" t="str">
        <f aca="false">IF(AND(N$5&gt;=$E13,N$5&lt;=$G13),1,"")</f>
        <v/>
      </c>
      <c r="O13" s="20" t="str">
        <f aca="false">IF(AND(O$5&gt;=$E13,O$5&lt;=$G13),1,"")</f>
        <v/>
      </c>
      <c r="P13" s="20" t="str">
        <f aca="false">IF(AND(P$5&gt;=$E13,P$5&lt;=$G13),1,"")</f>
        <v/>
      </c>
      <c r="Q13" s="20" t="str">
        <f aca="false">IF(AND(Q$5&gt;=$E13,Q$5&lt;=$G13),1,"")</f>
        <v/>
      </c>
      <c r="R13" s="20" t="str">
        <f aca="false">IF(AND(R$5&gt;=$E13,R$5&lt;=$G13),1,"")</f>
        <v/>
      </c>
      <c r="S13" s="20" t="str">
        <f aca="false">IF(AND(S$5&gt;=$E13,S$5&lt;=$G13),1,"")</f>
        <v/>
      </c>
      <c r="T13" s="20" t="str">
        <f aca="false">IF(AND(T$5&gt;=$E13,T$5&lt;=$G13),1,"")</f>
        <v/>
      </c>
      <c r="U13" s="20" t="str">
        <f aca="false">IF(AND(U$5&gt;=$E13,U$5&lt;=$G13),1,"")</f>
        <v/>
      </c>
      <c r="V13" s="20" t="str">
        <f aca="false">IF(AND(V$5&gt;=$E13,V$5&lt;=$G13),1,"")</f>
        <v/>
      </c>
      <c r="W13" s="20" t="str">
        <f aca="false">IF(AND(W$5&gt;=$E13,W$5&lt;=$G13),1,"")</f>
        <v/>
      </c>
      <c r="X13" s="20" t="str">
        <f aca="false">IF(AND(X$5&gt;=$E13,X$5&lt;=$G13),1,"")</f>
        <v/>
      </c>
      <c r="Y13" s="20" t="str">
        <f aca="false">IF(AND(Y$5&gt;=$E13,Y$5&lt;=$G13),1,"")</f>
        <v/>
      </c>
      <c r="Z13" s="20" t="str">
        <f aca="false">IF(AND(Z$5&gt;=$E13,Z$5&lt;=$G13),1,"")</f>
        <v/>
      </c>
      <c r="AA13" s="20" t="str">
        <f aca="false">IF(AND(AA$5&gt;=$E13,AA$5&lt;=$G13),1,"")</f>
        <v/>
      </c>
      <c r="AB13" s="20" t="str">
        <f aca="false">IF(AND(AB$5&gt;=$E13,AB$5&lt;=$G13),1,"")</f>
        <v/>
      </c>
      <c r="AC13" s="20" t="str">
        <f aca="false">IF(AND(AC$5&gt;=$E13,AC$5&lt;=$G13),1,"")</f>
        <v/>
      </c>
      <c r="AD13" s="20" t="str">
        <f aca="false">IF(AND(AD$5&gt;=$E13,AD$5&lt;=$G13),1,"")</f>
        <v/>
      </c>
      <c r="AE13" s="20" t="str">
        <f aca="false">IF(AND(AE$5&gt;=$E13,AE$5&lt;=$G13),1,"")</f>
        <v/>
      </c>
      <c r="AF13" s="20" t="str">
        <f aca="false">IF(AND(AF$5&gt;=$E13,AF$5&lt;=$G13),1,"")</f>
        <v/>
      </c>
      <c r="AG13" s="20" t="str">
        <f aca="false">IF(AND(AG$5&gt;=$E13,AG$5&lt;=$G13),1,"")</f>
        <v/>
      </c>
      <c r="AH13" s="20" t="str">
        <f aca="false">IF(AND(AH$5&gt;=$E13,AH$5&lt;=$G13),1,"")</f>
        <v/>
      </c>
      <c r="AI13" s="20" t="str">
        <f aca="false">IF(AND(AI$5&gt;=$E13,AI$5&lt;=$G13),1,"")</f>
        <v/>
      </c>
      <c r="AJ13" s="20" t="str">
        <f aca="false">IF(AND(AJ$5&gt;=$E13,AJ$5&lt;=$G13),1,"")</f>
        <v/>
      </c>
      <c r="AK13" s="20" t="str">
        <f aca="false">IF(AND(AK$5&gt;=$E13,AK$5&lt;=$G13),1,"")</f>
        <v/>
      </c>
      <c r="AL13" s="20" t="str">
        <f aca="false">IF(AND(AL$5&gt;=$E13,AL$5&lt;=$G13),1,"")</f>
        <v/>
      </c>
      <c r="AM13" s="20" t="str">
        <f aca="false">IF(AND(AM$5&gt;=$E13,AM$5&lt;=$G13),1,"")</f>
        <v/>
      </c>
      <c r="AN13" s="20" t="str">
        <f aca="false">IF(AND(AN$5&gt;=$E13,AN$5&lt;=$G13),1,"")</f>
        <v/>
      </c>
      <c r="AO13" s="20" t="str">
        <f aca="false">IF(AND(AO$5&gt;=$E13,AO$5&lt;=$G13),1,"")</f>
        <v/>
      </c>
      <c r="AP13" s="20" t="str">
        <f aca="false">IF(AND(AP$5&gt;=$E13,AP$5&lt;=$G13),1,"")</f>
        <v/>
      </c>
      <c r="AQ13" s="20" t="n">
        <f aca="false">IF(AND(AQ$5&gt;=$E13,AQ$5&lt;=$G13),1,"")</f>
        <v>1</v>
      </c>
      <c r="AR13" s="20" t="n">
        <f aca="false">IF(AND(AR$5&gt;=$E13,AR$5&lt;=$G13),1,"")</f>
        <v>1</v>
      </c>
      <c r="AS13" s="20" t="n">
        <f aca="false">IF(AND(AS$5&gt;=$E13,AS$5&lt;=$G13),1,"")</f>
        <v>1</v>
      </c>
      <c r="AT13" s="20" t="n">
        <f aca="false">IF(AND(AT$5&gt;=$E13,AT$5&lt;=$G13),1,"")</f>
        <v>1</v>
      </c>
      <c r="AU13" s="20" t="n">
        <f aca="false">IF(AND(AU$5&gt;=$E13,AU$5&lt;=$G13),1,"")</f>
        <v>1</v>
      </c>
      <c r="AV13" s="20" t="n">
        <f aca="false">IF(AND(AV$5&gt;=$E13,AV$5&lt;=$G13),1,"")</f>
        <v>1</v>
      </c>
      <c r="AW13" s="20" t="n">
        <f aca="false">IF(AND(AW$5&gt;=$E13,AW$5&lt;=$G13),1,"")</f>
        <v>1</v>
      </c>
      <c r="AX13" s="20" t="n">
        <f aca="false">IF(AND(AX$5&gt;=$E13,AX$5&lt;=$G13),1,"")</f>
        <v>1</v>
      </c>
      <c r="AY13" s="20" t="n">
        <f aca="false">IF(AND(AY$5&gt;=$E13,AY$5&lt;=$G13),1,"")</f>
        <v>1</v>
      </c>
      <c r="AZ13" s="20" t="n">
        <f aca="false">IF(AND(AZ$5&gt;=$E13,AZ$5&lt;=$G13),1,"")</f>
        <v>1</v>
      </c>
      <c r="BA13" s="20" t="n">
        <f aca="false">IF(AND(BA$5&gt;=$E13,BA$5&lt;=$G13),1,"")</f>
        <v>1</v>
      </c>
      <c r="BB13" s="20" t="n">
        <f aca="false">IF(AND(BB$5&gt;=$E13,BB$5&lt;=$G13),1,"")</f>
        <v>1</v>
      </c>
      <c r="BC13" s="20" t="str">
        <f aca="false">IF(AND(BC$5&gt;=$E13,BC$5&lt;=$G13),1,"")</f>
        <v/>
      </c>
      <c r="BD13" s="20" t="str">
        <f aca="false">IF(AND(BD$5&gt;=$E13,BD$5&lt;=$G13),1,"")</f>
        <v/>
      </c>
      <c r="BE13" s="20" t="str">
        <f aca="false">IF(AND(BE$5&gt;=$E13,BE$5&lt;=$G13),1,"")</f>
        <v/>
      </c>
      <c r="BF13" s="20" t="str">
        <f aca="false">IF(AND(BF$5&gt;=$E13,BF$5&lt;=$G13),1,"")</f>
        <v/>
      </c>
      <c r="BG13" s="20" t="str">
        <f aca="false">IF(AND(BG$5&gt;=$E13,BG$5&lt;=$G13),1,"")</f>
        <v/>
      </c>
      <c r="BH13" s="20" t="str">
        <f aca="false">IF(AND(BH$5&gt;=$E13,BH$5&lt;=$G13),1,"")</f>
        <v/>
      </c>
      <c r="BI13" s="20" t="str">
        <f aca="false">IF(AND(BI$5&gt;=$E13,BI$5&lt;=$G13),1,"")</f>
        <v/>
      </c>
    </row>
    <row r="14" customFormat="false" ht="15" hidden="false" customHeight="false" outlineLevel="0" collapsed="false">
      <c r="A14" s="4" t="s">
        <v>76</v>
      </c>
      <c r="B14" s="4" t="s">
        <v>67</v>
      </c>
      <c r="C14" s="4" t="s">
        <v>77</v>
      </c>
      <c r="D14" s="4" t="s">
        <v>69</v>
      </c>
      <c r="E14" s="18" t="n">
        <v>36</v>
      </c>
      <c r="F14" s="18" t="n">
        <v>9</v>
      </c>
      <c r="G14" s="4" t="n">
        <f aca="false">E14+F14-1</f>
        <v>44</v>
      </c>
      <c r="H14" s="19" t="n">
        <f aca="false">$C$3+(E14-1)*7</f>
        <v>46398</v>
      </c>
      <c r="I14" s="19" t="n">
        <f aca="false">$C$3+G14*7-3</f>
        <v>46458</v>
      </c>
      <c r="J14" s="20" t="str">
        <f aca="false">IF(AND(J$5&gt;=$E14,J$5&lt;=$G14),1,"")</f>
        <v/>
      </c>
      <c r="K14" s="20" t="str">
        <f aca="false">IF(AND(K$5&gt;=$E14,K$5&lt;=$G14),1,"")</f>
        <v/>
      </c>
      <c r="L14" s="20" t="str">
        <f aca="false">IF(AND(L$5&gt;=$E14,L$5&lt;=$G14),1,"")</f>
        <v/>
      </c>
      <c r="M14" s="20" t="str">
        <f aca="false">IF(AND(M$5&gt;=$E14,M$5&lt;=$G14),1,"")</f>
        <v/>
      </c>
      <c r="N14" s="20" t="str">
        <f aca="false">IF(AND(N$5&gt;=$E14,N$5&lt;=$G14),1,"")</f>
        <v/>
      </c>
      <c r="O14" s="20" t="str">
        <f aca="false">IF(AND(O$5&gt;=$E14,O$5&lt;=$G14),1,"")</f>
        <v/>
      </c>
      <c r="P14" s="20" t="str">
        <f aca="false">IF(AND(P$5&gt;=$E14,P$5&lt;=$G14),1,"")</f>
        <v/>
      </c>
      <c r="Q14" s="20" t="str">
        <f aca="false">IF(AND(Q$5&gt;=$E14,Q$5&lt;=$G14),1,"")</f>
        <v/>
      </c>
      <c r="R14" s="20" t="str">
        <f aca="false">IF(AND(R$5&gt;=$E14,R$5&lt;=$G14),1,"")</f>
        <v/>
      </c>
      <c r="S14" s="20" t="str">
        <f aca="false">IF(AND(S$5&gt;=$E14,S$5&lt;=$G14),1,"")</f>
        <v/>
      </c>
      <c r="T14" s="20" t="str">
        <f aca="false">IF(AND(T$5&gt;=$E14,T$5&lt;=$G14),1,"")</f>
        <v/>
      </c>
      <c r="U14" s="20" t="str">
        <f aca="false">IF(AND(U$5&gt;=$E14,U$5&lt;=$G14),1,"")</f>
        <v/>
      </c>
      <c r="V14" s="20" t="str">
        <f aca="false">IF(AND(V$5&gt;=$E14,V$5&lt;=$G14),1,"")</f>
        <v/>
      </c>
      <c r="W14" s="20" t="str">
        <f aca="false">IF(AND(W$5&gt;=$E14,W$5&lt;=$G14),1,"")</f>
        <v/>
      </c>
      <c r="X14" s="20" t="str">
        <f aca="false">IF(AND(X$5&gt;=$E14,X$5&lt;=$G14),1,"")</f>
        <v/>
      </c>
      <c r="Y14" s="20" t="str">
        <f aca="false">IF(AND(Y$5&gt;=$E14,Y$5&lt;=$G14),1,"")</f>
        <v/>
      </c>
      <c r="Z14" s="20" t="str">
        <f aca="false">IF(AND(Z$5&gt;=$E14,Z$5&lt;=$G14),1,"")</f>
        <v/>
      </c>
      <c r="AA14" s="20" t="str">
        <f aca="false">IF(AND(AA$5&gt;=$E14,AA$5&lt;=$G14),1,"")</f>
        <v/>
      </c>
      <c r="AB14" s="20" t="str">
        <f aca="false">IF(AND(AB$5&gt;=$E14,AB$5&lt;=$G14),1,"")</f>
        <v/>
      </c>
      <c r="AC14" s="20" t="str">
        <f aca="false">IF(AND(AC$5&gt;=$E14,AC$5&lt;=$G14),1,"")</f>
        <v/>
      </c>
      <c r="AD14" s="20" t="str">
        <f aca="false">IF(AND(AD$5&gt;=$E14,AD$5&lt;=$G14),1,"")</f>
        <v/>
      </c>
      <c r="AE14" s="20" t="str">
        <f aca="false">IF(AND(AE$5&gt;=$E14,AE$5&lt;=$G14),1,"")</f>
        <v/>
      </c>
      <c r="AF14" s="20" t="str">
        <f aca="false">IF(AND(AF$5&gt;=$E14,AF$5&lt;=$G14),1,"")</f>
        <v/>
      </c>
      <c r="AG14" s="20" t="str">
        <f aca="false">IF(AND(AG$5&gt;=$E14,AG$5&lt;=$G14),1,"")</f>
        <v/>
      </c>
      <c r="AH14" s="20" t="str">
        <f aca="false">IF(AND(AH$5&gt;=$E14,AH$5&lt;=$G14),1,"")</f>
        <v/>
      </c>
      <c r="AI14" s="20" t="str">
        <f aca="false">IF(AND(AI$5&gt;=$E14,AI$5&lt;=$G14),1,"")</f>
        <v/>
      </c>
      <c r="AJ14" s="20" t="str">
        <f aca="false">IF(AND(AJ$5&gt;=$E14,AJ$5&lt;=$G14),1,"")</f>
        <v/>
      </c>
      <c r="AK14" s="20" t="str">
        <f aca="false">IF(AND(AK$5&gt;=$E14,AK$5&lt;=$G14),1,"")</f>
        <v/>
      </c>
      <c r="AL14" s="20" t="str">
        <f aca="false">IF(AND(AL$5&gt;=$E14,AL$5&lt;=$G14),1,"")</f>
        <v/>
      </c>
      <c r="AM14" s="20" t="str">
        <f aca="false">IF(AND(AM$5&gt;=$E14,AM$5&lt;=$G14),1,"")</f>
        <v/>
      </c>
      <c r="AN14" s="20" t="str">
        <f aca="false">IF(AND(AN$5&gt;=$E14,AN$5&lt;=$G14),1,"")</f>
        <v/>
      </c>
      <c r="AO14" s="20" t="str">
        <f aca="false">IF(AND(AO$5&gt;=$E14,AO$5&lt;=$G14),1,"")</f>
        <v/>
      </c>
      <c r="AP14" s="20" t="str">
        <f aca="false">IF(AND(AP$5&gt;=$E14,AP$5&lt;=$G14),1,"")</f>
        <v/>
      </c>
      <c r="AQ14" s="20" t="str">
        <f aca="false">IF(AND(AQ$5&gt;=$E14,AQ$5&lt;=$G14),1,"")</f>
        <v/>
      </c>
      <c r="AR14" s="20" t="str">
        <f aca="false">IF(AND(AR$5&gt;=$E14,AR$5&lt;=$G14),1,"")</f>
        <v/>
      </c>
      <c r="AS14" s="20" t="n">
        <f aca="false">IF(AND(AS$5&gt;=$E14,AS$5&lt;=$G14),1,"")</f>
        <v>1</v>
      </c>
      <c r="AT14" s="20" t="n">
        <f aca="false">IF(AND(AT$5&gt;=$E14,AT$5&lt;=$G14),1,"")</f>
        <v>1</v>
      </c>
      <c r="AU14" s="20" t="n">
        <f aca="false">IF(AND(AU$5&gt;=$E14,AU$5&lt;=$G14),1,"")</f>
        <v>1</v>
      </c>
      <c r="AV14" s="20" t="n">
        <f aca="false">IF(AND(AV$5&gt;=$E14,AV$5&lt;=$G14),1,"")</f>
        <v>1</v>
      </c>
      <c r="AW14" s="20" t="n">
        <f aca="false">IF(AND(AW$5&gt;=$E14,AW$5&lt;=$G14),1,"")</f>
        <v>1</v>
      </c>
      <c r="AX14" s="20" t="n">
        <f aca="false">IF(AND(AX$5&gt;=$E14,AX$5&lt;=$G14),1,"")</f>
        <v>1</v>
      </c>
      <c r="AY14" s="20" t="n">
        <f aca="false">IF(AND(AY$5&gt;=$E14,AY$5&lt;=$G14),1,"")</f>
        <v>1</v>
      </c>
      <c r="AZ14" s="20" t="n">
        <f aca="false">IF(AND(AZ$5&gt;=$E14,AZ$5&lt;=$G14),1,"")</f>
        <v>1</v>
      </c>
      <c r="BA14" s="20" t="n">
        <f aca="false">IF(AND(BA$5&gt;=$E14,BA$5&lt;=$G14),1,"")</f>
        <v>1</v>
      </c>
      <c r="BB14" s="20" t="str">
        <f aca="false">IF(AND(BB$5&gt;=$E14,BB$5&lt;=$G14),1,"")</f>
        <v/>
      </c>
      <c r="BC14" s="20" t="str">
        <f aca="false">IF(AND(BC$5&gt;=$E14,BC$5&lt;=$G14),1,"")</f>
        <v/>
      </c>
      <c r="BD14" s="20" t="str">
        <f aca="false">IF(AND(BD$5&gt;=$E14,BD$5&lt;=$G14),1,"")</f>
        <v/>
      </c>
      <c r="BE14" s="20" t="str">
        <f aca="false">IF(AND(BE$5&gt;=$E14,BE$5&lt;=$G14),1,"")</f>
        <v/>
      </c>
      <c r="BF14" s="20" t="str">
        <f aca="false">IF(AND(BF$5&gt;=$E14,BF$5&lt;=$G14),1,"")</f>
        <v/>
      </c>
      <c r="BG14" s="20" t="str">
        <f aca="false">IF(AND(BG$5&gt;=$E14,BG$5&lt;=$G14),1,"")</f>
        <v/>
      </c>
      <c r="BH14" s="20" t="str">
        <f aca="false">IF(AND(BH$5&gt;=$E14,BH$5&lt;=$G14),1,"")</f>
        <v/>
      </c>
      <c r="BI14" s="20" t="str">
        <f aca="false">IF(AND(BI$5&gt;=$E14,BI$5&lt;=$G14),1,"")</f>
        <v/>
      </c>
    </row>
    <row r="15" customFormat="false" ht="15" hidden="false" customHeight="false" outlineLevel="0" collapsed="false">
      <c r="A15" s="4" t="s">
        <v>78</v>
      </c>
      <c r="B15" s="4" t="s">
        <v>79</v>
      </c>
      <c r="C15" s="4" t="s">
        <v>80</v>
      </c>
      <c r="D15" s="4" t="s">
        <v>81</v>
      </c>
      <c r="E15" s="18" t="n">
        <v>44</v>
      </c>
      <c r="F15" s="18" t="n">
        <v>4</v>
      </c>
      <c r="G15" s="4" t="n">
        <f aca="false">E15+F15-1</f>
        <v>47</v>
      </c>
      <c r="H15" s="19" t="n">
        <f aca="false">$C$3+(E15-1)*7</f>
        <v>46454</v>
      </c>
      <c r="I15" s="19" t="n">
        <f aca="false">$C$3+G15*7-3</f>
        <v>46479</v>
      </c>
      <c r="J15" s="20" t="str">
        <f aca="false">IF(AND(J$5&gt;=$E15,J$5&lt;=$G15),1,"")</f>
        <v/>
      </c>
      <c r="K15" s="20" t="str">
        <f aca="false">IF(AND(K$5&gt;=$E15,K$5&lt;=$G15),1,"")</f>
        <v/>
      </c>
      <c r="L15" s="20" t="str">
        <f aca="false">IF(AND(L$5&gt;=$E15,L$5&lt;=$G15),1,"")</f>
        <v/>
      </c>
      <c r="M15" s="20" t="str">
        <f aca="false">IF(AND(M$5&gt;=$E15,M$5&lt;=$G15),1,"")</f>
        <v/>
      </c>
      <c r="N15" s="20" t="str">
        <f aca="false">IF(AND(N$5&gt;=$E15,N$5&lt;=$G15),1,"")</f>
        <v/>
      </c>
      <c r="O15" s="20" t="str">
        <f aca="false">IF(AND(O$5&gt;=$E15,O$5&lt;=$G15),1,"")</f>
        <v/>
      </c>
      <c r="P15" s="20" t="str">
        <f aca="false">IF(AND(P$5&gt;=$E15,P$5&lt;=$G15),1,"")</f>
        <v/>
      </c>
      <c r="Q15" s="20" t="str">
        <f aca="false">IF(AND(Q$5&gt;=$E15,Q$5&lt;=$G15),1,"")</f>
        <v/>
      </c>
      <c r="R15" s="20" t="str">
        <f aca="false">IF(AND(R$5&gt;=$E15,R$5&lt;=$G15),1,"")</f>
        <v/>
      </c>
      <c r="S15" s="20" t="str">
        <f aca="false">IF(AND(S$5&gt;=$E15,S$5&lt;=$G15),1,"")</f>
        <v/>
      </c>
      <c r="T15" s="20" t="str">
        <f aca="false">IF(AND(T$5&gt;=$E15,T$5&lt;=$G15),1,"")</f>
        <v/>
      </c>
      <c r="U15" s="20" t="str">
        <f aca="false">IF(AND(U$5&gt;=$E15,U$5&lt;=$G15),1,"")</f>
        <v/>
      </c>
      <c r="V15" s="20" t="str">
        <f aca="false">IF(AND(V$5&gt;=$E15,V$5&lt;=$G15),1,"")</f>
        <v/>
      </c>
      <c r="W15" s="20" t="str">
        <f aca="false">IF(AND(W$5&gt;=$E15,W$5&lt;=$G15),1,"")</f>
        <v/>
      </c>
      <c r="X15" s="20" t="str">
        <f aca="false">IF(AND(X$5&gt;=$E15,X$5&lt;=$G15),1,"")</f>
        <v/>
      </c>
      <c r="Y15" s="20" t="str">
        <f aca="false">IF(AND(Y$5&gt;=$E15,Y$5&lt;=$G15),1,"")</f>
        <v/>
      </c>
      <c r="Z15" s="20" t="str">
        <f aca="false">IF(AND(Z$5&gt;=$E15,Z$5&lt;=$G15),1,"")</f>
        <v/>
      </c>
      <c r="AA15" s="20" t="str">
        <f aca="false">IF(AND(AA$5&gt;=$E15,AA$5&lt;=$G15),1,"")</f>
        <v/>
      </c>
      <c r="AB15" s="20" t="str">
        <f aca="false">IF(AND(AB$5&gt;=$E15,AB$5&lt;=$G15),1,"")</f>
        <v/>
      </c>
      <c r="AC15" s="20" t="str">
        <f aca="false">IF(AND(AC$5&gt;=$E15,AC$5&lt;=$G15),1,"")</f>
        <v/>
      </c>
      <c r="AD15" s="20" t="str">
        <f aca="false">IF(AND(AD$5&gt;=$E15,AD$5&lt;=$G15),1,"")</f>
        <v/>
      </c>
      <c r="AE15" s="20" t="str">
        <f aca="false">IF(AND(AE$5&gt;=$E15,AE$5&lt;=$G15),1,"")</f>
        <v/>
      </c>
      <c r="AF15" s="20" t="str">
        <f aca="false">IF(AND(AF$5&gt;=$E15,AF$5&lt;=$G15),1,"")</f>
        <v/>
      </c>
      <c r="AG15" s="20" t="str">
        <f aca="false">IF(AND(AG$5&gt;=$E15,AG$5&lt;=$G15),1,"")</f>
        <v/>
      </c>
      <c r="AH15" s="20" t="str">
        <f aca="false">IF(AND(AH$5&gt;=$E15,AH$5&lt;=$G15),1,"")</f>
        <v/>
      </c>
      <c r="AI15" s="20" t="str">
        <f aca="false">IF(AND(AI$5&gt;=$E15,AI$5&lt;=$G15),1,"")</f>
        <v/>
      </c>
      <c r="AJ15" s="20" t="str">
        <f aca="false">IF(AND(AJ$5&gt;=$E15,AJ$5&lt;=$G15),1,"")</f>
        <v/>
      </c>
      <c r="AK15" s="20" t="str">
        <f aca="false">IF(AND(AK$5&gt;=$E15,AK$5&lt;=$G15),1,"")</f>
        <v/>
      </c>
      <c r="AL15" s="20" t="str">
        <f aca="false">IF(AND(AL$5&gt;=$E15,AL$5&lt;=$G15),1,"")</f>
        <v/>
      </c>
      <c r="AM15" s="20" t="str">
        <f aca="false">IF(AND(AM$5&gt;=$E15,AM$5&lt;=$G15),1,"")</f>
        <v/>
      </c>
      <c r="AN15" s="20" t="str">
        <f aca="false">IF(AND(AN$5&gt;=$E15,AN$5&lt;=$G15),1,"")</f>
        <v/>
      </c>
      <c r="AO15" s="20" t="str">
        <f aca="false">IF(AND(AO$5&gt;=$E15,AO$5&lt;=$G15),1,"")</f>
        <v/>
      </c>
      <c r="AP15" s="20" t="str">
        <f aca="false">IF(AND(AP$5&gt;=$E15,AP$5&lt;=$G15),1,"")</f>
        <v/>
      </c>
      <c r="AQ15" s="20" t="str">
        <f aca="false">IF(AND(AQ$5&gt;=$E15,AQ$5&lt;=$G15),1,"")</f>
        <v/>
      </c>
      <c r="AR15" s="20" t="str">
        <f aca="false">IF(AND(AR$5&gt;=$E15,AR$5&lt;=$G15),1,"")</f>
        <v/>
      </c>
      <c r="AS15" s="20" t="str">
        <f aca="false">IF(AND(AS$5&gt;=$E15,AS$5&lt;=$G15),1,"")</f>
        <v/>
      </c>
      <c r="AT15" s="20" t="str">
        <f aca="false">IF(AND(AT$5&gt;=$E15,AT$5&lt;=$G15),1,"")</f>
        <v/>
      </c>
      <c r="AU15" s="20" t="str">
        <f aca="false">IF(AND(AU$5&gt;=$E15,AU$5&lt;=$G15),1,"")</f>
        <v/>
      </c>
      <c r="AV15" s="20" t="str">
        <f aca="false">IF(AND(AV$5&gt;=$E15,AV$5&lt;=$G15),1,"")</f>
        <v/>
      </c>
      <c r="AW15" s="20" t="str">
        <f aca="false">IF(AND(AW$5&gt;=$E15,AW$5&lt;=$G15),1,"")</f>
        <v/>
      </c>
      <c r="AX15" s="20" t="str">
        <f aca="false">IF(AND(AX$5&gt;=$E15,AX$5&lt;=$G15),1,"")</f>
        <v/>
      </c>
      <c r="AY15" s="20" t="str">
        <f aca="false">IF(AND(AY$5&gt;=$E15,AY$5&lt;=$G15),1,"")</f>
        <v/>
      </c>
      <c r="AZ15" s="20" t="str">
        <f aca="false">IF(AND(AZ$5&gt;=$E15,AZ$5&lt;=$G15),1,"")</f>
        <v/>
      </c>
      <c r="BA15" s="20" t="n">
        <f aca="false">IF(AND(BA$5&gt;=$E15,BA$5&lt;=$G15),1,"")</f>
        <v>1</v>
      </c>
      <c r="BB15" s="20" t="n">
        <f aca="false">IF(AND(BB$5&gt;=$E15,BB$5&lt;=$G15),1,"")</f>
        <v>1</v>
      </c>
      <c r="BC15" s="20" t="n">
        <f aca="false">IF(AND(BC$5&gt;=$E15,BC$5&lt;=$G15),1,"")</f>
        <v>1</v>
      </c>
      <c r="BD15" s="20" t="n">
        <f aca="false">IF(AND(BD$5&gt;=$E15,BD$5&lt;=$G15),1,"")</f>
        <v>1</v>
      </c>
      <c r="BE15" s="20" t="str">
        <f aca="false">IF(AND(BE$5&gt;=$E15,BE$5&lt;=$G15),1,"")</f>
        <v/>
      </c>
      <c r="BF15" s="20" t="str">
        <f aca="false">IF(AND(BF$5&gt;=$E15,BF$5&lt;=$G15),1,"")</f>
        <v/>
      </c>
      <c r="BG15" s="20" t="str">
        <f aca="false">IF(AND(BG$5&gt;=$E15,BG$5&lt;=$G15),1,"")</f>
        <v/>
      </c>
      <c r="BH15" s="20" t="str">
        <f aca="false">IF(AND(BH$5&gt;=$E15,BH$5&lt;=$G15),1,"")</f>
        <v/>
      </c>
      <c r="BI15" s="20" t="str">
        <f aca="false">IF(AND(BI$5&gt;=$E15,BI$5&lt;=$G15),1,"")</f>
        <v/>
      </c>
    </row>
    <row r="16" customFormat="false" ht="15" hidden="false" customHeight="false" outlineLevel="0" collapsed="false">
      <c r="A16" s="4" t="s">
        <v>82</v>
      </c>
      <c r="B16" s="4" t="s">
        <v>79</v>
      </c>
      <c r="C16" s="4" t="s">
        <v>83</v>
      </c>
      <c r="D16" s="4" t="s">
        <v>81</v>
      </c>
      <c r="E16" s="18" t="n">
        <v>47</v>
      </c>
      <c r="F16" s="18" t="n">
        <v>3</v>
      </c>
      <c r="G16" s="4" t="n">
        <f aca="false">E16+F16-1</f>
        <v>49</v>
      </c>
      <c r="H16" s="19" t="n">
        <f aca="false">$C$3+(E16-1)*7</f>
        <v>46475</v>
      </c>
      <c r="I16" s="19" t="n">
        <f aca="false">$C$3+G16*7-3</f>
        <v>46493</v>
      </c>
      <c r="J16" s="20" t="str">
        <f aca="false">IF(AND(J$5&gt;=$E16,J$5&lt;=$G16),1,"")</f>
        <v/>
      </c>
      <c r="K16" s="20" t="str">
        <f aca="false">IF(AND(K$5&gt;=$E16,K$5&lt;=$G16),1,"")</f>
        <v/>
      </c>
      <c r="L16" s="20" t="str">
        <f aca="false">IF(AND(L$5&gt;=$E16,L$5&lt;=$G16),1,"")</f>
        <v/>
      </c>
      <c r="M16" s="20" t="str">
        <f aca="false">IF(AND(M$5&gt;=$E16,M$5&lt;=$G16),1,"")</f>
        <v/>
      </c>
      <c r="N16" s="20" t="str">
        <f aca="false">IF(AND(N$5&gt;=$E16,N$5&lt;=$G16),1,"")</f>
        <v/>
      </c>
      <c r="O16" s="20" t="str">
        <f aca="false">IF(AND(O$5&gt;=$E16,O$5&lt;=$G16),1,"")</f>
        <v/>
      </c>
      <c r="P16" s="20" t="str">
        <f aca="false">IF(AND(P$5&gt;=$E16,P$5&lt;=$G16),1,"")</f>
        <v/>
      </c>
      <c r="Q16" s="20" t="str">
        <f aca="false">IF(AND(Q$5&gt;=$E16,Q$5&lt;=$G16),1,"")</f>
        <v/>
      </c>
      <c r="R16" s="20" t="str">
        <f aca="false">IF(AND(R$5&gt;=$E16,R$5&lt;=$G16),1,"")</f>
        <v/>
      </c>
      <c r="S16" s="20" t="str">
        <f aca="false">IF(AND(S$5&gt;=$E16,S$5&lt;=$G16),1,"")</f>
        <v/>
      </c>
      <c r="T16" s="20" t="str">
        <f aca="false">IF(AND(T$5&gt;=$E16,T$5&lt;=$G16),1,"")</f>
        <v/>
      </c>
      <c r="U16" s="20" t="str">
        <f aca="false">IF(AND(U$5&gt;=$E16,U$5&lt;=$G16),1,"")</f>
        <v/>
      </c>
      <c r="V16" s="20" t="str">
        <f aca="false">IF(AND(V$5&gt;=$E16,V$5&lt;=$G16),1,"")</f>
        <v/>
      </c>
      <c r="W16" s="20" t="str">
        <f aca="false">IF(AND(W$5&gt;=$E16,W$5&lt;=$G16),1,"")</f>
        <v/>
      </c>
      <c r="X16" s="20" t="str">
        <f aca="false">IF(AND(X$5&gt;=$E16,X$5&lt;=$G16),1,"")</f>
        <v/>
      </c>
      <c r="Y16" s="20" t="str">
        <f aca="false">IF(AND(Y$5&gt;=$E16,Y$5&lt;=$G16),1,"")</f>
        <v/>
      </c>
      <c r="Z16" s="20" t="str">
        <f aca="false">IF(AND(Z$5&gt;=$E16,Z$5&lt;=$G16),1,"")</f>
        <v/>
      </c>
      <c r="AA16" s="20" t="str">
        <f aca="false">IF(AND(AA$5&gt;=$E16,AA$5&lt;=$G16),1,"")</f>
        <v/>
      </c>
      <c r="AB16" s="20" t="str">
        <f aca="false">IF(AND(AB$5&gt;=$E16,AB$5&lt;=$G16),1,"")</f>
        <v/>
      </c>
      <c r="AC16" s="20" t="str">
        <f aca="false">IF(AND(AC$5&gt;=$E16,AC$5&lt;=$G16),1,"")</f>
        <v/>
      </c>
      <c r="AD16" s="20" t="str">
        <f aca="false">IF(AND(AD$5&gt;=$E16,AD$5&lt;=$G16),1,"")</f>
        <v/>
      </c>
      <c r="AE16" s="20" t="str">
        <f aca="false">IF(AND(AE$5&gt;=$E16,AE$5&lt;=$G16),1,"")</f>
        <v/>
      </c>
      <c r="AF16" s="20" t="str">
        <f aca="false">IF(AND(AF$5&gt;=$E16,AF$5&lt;=$G16),1,"")</f>
        <v/>
      </c>
      <c r="AG16" s="20" t="str">
        <f aca="false">IF(AND(AG$5&gt;=$E16,AG$5&lt;=$G16),1,"")</f>
        <v/>
      </c>
      <c r="AH16" s="20" t="str">
        <f aca="false">IF(AND(AH$5&gt;=$E16,AH$5&lt;=$G16),1,"")</f>
        <v/>
      </c>
      <c r="AI16" s="20" t="str">
        <f aca="false">IF(AND(AI$5&gt;=$E16,AI$5&lt;=$G16),1,"")</f>
        <v/>
      </c>
      <c r="AJ16" s="20" t="str">
        <f aca="false">IF(AND(AJ$5&gt;=$E16,AJ$5&lt;=$G16),1,"")</f>
        <v/>
      </c>
      <c r="AK16" s="20" t="str">
        <f aca="false">IF(AND(AK$5&gt;=$E16,AK$5&lt;=$G16),1,"")</f>
        <v/>
      </c>
      <c r="AL16" s="20" t="str">
        <f aca="false">IF(AND(AL$5&gt;=$E16,AL$5&lt;=$G16),1,"")</f>
        <v/>
      </c>
      <c r="AM16" s="20" t="str">
        <f aca="false">IF(AND(AM$5&gt;=$E16,AM$5&lt;=$G16),1,"")</f>
        <v/>
      </c>
      <c r="AN16" s="20" t="str">
        <f aca="false">IF(AND(AN$5&gt;=$E16,AN$5&lt;=$G16),1,"")</f>
        <v/>
      </c>
      <c r="AO16" s="20" t="str">
        <f aca="false">IF(AND(AO$5&gt;=$E16,AO$5&lt;=$G16),1,"")</f>
        <v/>
      </c>
      <c r="AP16" s="20" t="str">
        <f aca="false">IF(AND(AP$5&gt;=$E16,AP$5&lt;=$G16),1,"")</f>
        <v/>
      </c>
      <c r="AQ16" s="20" t="str">
        <f aca="false">IF(AND(AQ$5&gt;=$E16,AQ$5&lt;=$G16),1,"")</f>
        <v/>
      </c>
      <c r="AR16" s="20" t="str">
        <f aca="false">IF(AND(AR$5&gt;=$E16,AR$5&lt;=$G16),1,"")</f>
        <v/>
      </c>
      <c r="AS16" s="20" t="str">
        <f aca="false">IF(AND(AS$5&gt;=$E16,AS$5&lt;=$G16),1,"")</f>
        <v/>
      </c>
      <c r="AT16" s="20" t="str">
        <f aca="false">IF(AND(AT$5&gt;=$E16,AT$5&lt;=$G16),1,"")</f>
        <v/>
      </c>
      <c r="AU16" s="20" t="str">
        <f aca="false">IF(AND(AU$5&gt;=$E16,AU$5&lt;=$G16),1,"")</f>
        <v/>
      </c>
      <c r="AV16" s="20" t="str">
        <f aca="false">IF(AND(AV$5&gt;=$E16,AV$5&lt;=$G16),1,"")</f>
        <v/>
      </c>
      <c r="AW16" s="20" t="str">
        <f aca="false">IF(AND(AW$5&gt;=$E16,AW$5&lt;=$G16),1,"")</f>
        <v/>
      </c>
      <c r="AX16" s="20" t="str">
        <f aca="false">IF(AND(AX$5&gt;=$E16,AX$5&lt;=$G16),1,"")</f>
        <v/>
      </c>
      <c r="AY16" s="20" t="str">
        <f aca="false">IF(AND(AY$5&gt;=$E16,AY$5&lt;=$G16),1,"")</f>
        <v/>
      </c>
      <c r="AZ16" s="20" t="str">
        <f aca="false">IF(AND(AZ$5&gt;=$E16,AZ$5&lt;=$G16),1,"")</f>
        <v/>
      </c>
      <c r="BA16" s="20" t="str">
        <f aca="false">IF(AND(BA$5&gt;=$E16,BA$5&lt;=$G16),1,"")</f>
        <v/>
      </c>
      <c r="BB16" s="20" t="str">
        <f aca="false">IF(AND(BB$5&gt;=$E16,BB$5&lt;=$G16),1,"")</f>
        <v/>
      </c>
      <c r="BC16" s="20" t="str">
        <f aca="false">IF(AND(BC$5&gt;=$E16,BC$5&lt;=$G16),1,"")</f>
        <v/>
      </c>
      <c r="BD16" s="20" t="n">
        <f aca="false">IF(AND(BD$5&gt;=$E16,BD$5&lt;=$G16),1,"")</f>
        <v>1</v>
      </c>
      <c r="BE16" s="20" t="n">
        <f aca="false">IF(AND(BE$5&gt;=$E16,BE$5&lt;=$G16),1,"")</f>
        <v>1</v>
      </c>
      <c r="BF16" s="20" t="n">
        <f aca="false">IF(AND(BF$5&gt;=$E16,BF$5&lt;=$G16),1,"")</f>
        <v>1</v>
      </c>
      <c r="BG16" s="20" t="str">
        <f aca="false">IF(AND(BG$5&gt;=$E16,BG$5&lt;=$G16),1,"")</f>
        <v/>
      </c>
      <c r="BH16" s="20" t="str">
        <f aca="false">IF(AND(BH$5&gt;=$E16,BH$5&lt;=$G16),1,"")</f>
        <v/>
      </c>
      <c r="BI16" s="20" t="str">
        <f aca="false">IF(AND(BI$5&gt;=$E16,BI$5&lt;=$G16),1,"")</f>
        <v/>
      </c>
    </row>
    <row r="17" customFormat="false" ht="15" hidden="false" customHeight="false" outlineLevel="0" collapsed="false">
      <c r="A17" s="4" t="s">
        <v>84</v>
      </c>
      <c r="B17" s="4" t="s">
        <v>79</v>
      </c>
      <c r="C17" s="4" t="s">
        <v>85</v>
      </c>
      <c r="D17" s="4" t="s">
        <v>86</v>
      </c>
      <c r="E17" s="18" t="n">
        <v>48</v>
      </c>
      <c r="F17" s="18" t="n">
        <v>4</v>
      </c>
      <c r="G17" s="4" t="n">
        <f aca="false">E17+F17-1</f>
        <v>51</v>
      </c>
      <c r="H17" s="19" t="n">
        <f aca="false">$C$3+(E17-1)*7</f>
        <v>46482</v>
      </c>
      <c r="I17" s="19" t="n">
        <f aca="false">$C$3+G17*7-3</f>
        <v>46507</v>
      </c>
      <c r="J17" s="20" t="str">
        <f aca="false">IF(AND(J$5&gt;=$E17,J$5&lt;=$G17),1,"")</f>
        <v/>
      </c>
      <c r="K17" s="20" t="str">
        <f aca="false">IF(AND(K$5&gt;=$E17,K$5&lt;=$G17),1,"")</f>
        <v/>
      </c>
      <c r="L17" s="20" t="str">
        <f aca="false">IF(AND(L$5&gt;=$E17,L$5&lt;=$G17),1,"")</f>
        <v/>
      </c>
      <c r="M17" s="20" t="str">
        <f aca="false">IF(AND(M$5&gt;=$E17,M$5&lt;=$G17),1,"")</f>
        <v/>
      </c>
      <c r="N17" s="20" t="str">
        <f aca="false">IF(AND(N$5&gt;=$E17,N$5&lt;=$G17),1,"")</f>
        <v/>
      </c>
      <c r="O17" s="20" t="str">
        <f aca="false">IF(AND(O$5&gt;=$E17,O$5&lt;=$G17),1,"")</f>
        <v/>
      </c>
      <c r="P17" s="20" t="str">
        <f aca="false">IF(AND(P$5&gt;=$E17,P$5&lt;=$G17),1,"")</f>
        <v/>
      </c>
      <c r="Q17" s="20" t="str">
        <f aca="false">IF(AND(Q$5&gt;=$E17,Q$5&lt;=$G17),1,"")</f>
        <v/>
      </c>
      <c r="R17" s="20" t="str">
        <f aca="false">IF(AND(R$5&gt;=$E17,R$5&lt;=$G17),1,"")</f>
        <v/>
      </c>
      <c r="S17" s="20" t="str">
        <f aca="false">IF(AND(S$5&gt;=$E17,S$5&lt;=$G17),1,"")</f>
        <v/>
      </c>
      <c r="T17" s="20" t="str">
        <f aca="false">IF(AND(T$5&gt;=$E17,T$5&lt;=$G17),1,"")</f>
        <v/>
      </c>
      <c r="U17" s="20" t="str">
        <f aca="false">IF(AND(U$5&gt;=$E17,U$5&lt;=$G17),1,"")</f>
        <v/>
      </c>
      <c r="V17" s="20" t="str">
        <f aca="false">IF(AND(V$5&gt;=$E17,V$5&lt;=$G17),1,"")</f>
        <v/>
      </c>
      <c r="W17" s="20" t="str">
        <f aca="false">IF(AND(W$5&gt;=$E17,W$5&lt;=$G17),1,"")</f>
        <v/>
      </c>
      <c r="X17" s="20" t="str">
        <f aca="false">IF(AND(X$5&gt;=$E17,X$5&lt;=$G17),1,"")</f>
        <v/>
      </c>
      <c r="Y17" s="20" t="str">
        <f aca="false">IF(AND(Y$5&gt;=$E17,Y$5&lt;=$G17),1,"")</f>
        <v/>
      </c>
      <c r="Z17" s="20" t="str">
        <f aca="false">IF(AND(Z$5&gt;=$E17,Z$5&lt;=$G17),1,"")</f>
        <v/>
      </c>
      <c r="AA17" s="20" t="str">
        <f aca="false">IF(AND(AA$5&gt;=$E17,AA$5&lt;=$G17),1,"")</f>
        <v/>
      </c>
      <c r="AB17" s="20" t="str">
        <f aca="false">IF(AND(AB$5&gt;=$E17,AB$5&lt;=$G17),1,"")</f>
        <v/>
      </c>
      <c r="AC17" s="20" t="str">
        <f aca="false">IF(AND(AC$5&gt;=$E17,AC$5&lt;=$G17),1,"")</f>
        <v/>
      </c>
      <c r="AD17" s="20" t="str">
        <f aca="false">IF(AND(AD$5&gt;=$E17,AD$5&lt;=$G17),1,"")</f>
        <v/>
      </c>
      <c r="AE17" s="20" t="str">
        <f aca="false">IF(AND(AE$5&gt;=$E17,AE$5&lt;=$G17),1,"")</f>
        <v/>
      </c>
      <c r="AF17" s="20" t="str">
        <f aca="false">IF(AND(AF$5&gt;=$E17,AF$5&lt;=$G17),1,"")</f>
        <v/>
      </c>
      <c r="AG17" s="20" t="str">
        <f aca="false">IF(AND(AG$5&gt;=$E17,AG$5&lt;=$G17),1,"")</f>
        <v/>
      </c>
      <c r="AH17" s="20" t="str">
        <f aca="false">IF(AND(AH$5&gt;=$E17,AH$5&lt;=$G17),1,"")</f>
        <v/>
      </c>
      <c r="AI17" s="20" t="str">
        <f aca="false">IF(AND(AI$5&gt;=$E17,AI$5&lt;=$G17),1,"")</f>
        <v/>
      </c>
      <c r="AJ17" s="20" t="str">
        <f aca="false">IF(AND(AJ$5&gt;=$E17,AJ$5&lt;=$G17),1,"")</f>
        <v/>
      </c>
      <c r="AK17" s="20" t="str">
        <f aca="false">IF(AND(AK$5&gt;=$E17,AK$5&lt;=$G17),1,"")</f>
        <v/>
      </c>
      <c r="AL17" s="20" t="str">
        <f aca="false">IF(AND(AL$5&gt;=$E17,AL$5&lt;=$G17),1,"")</f>
        <v/>
      </c>
      <c r="AM17" s="20" t="str">
        <f aca="false">IF(AND(AM$5&gt;=$E17,AM$5&lt;=$G17),1,"")</f>
        <v/>
      </c>
      <c r="AN17" s="20" t="str">
        <f aca="false">IF(AND(AN$5&gt;=$E17,AN$5&lt;=$G17),1,"")</f>
        <v/>
      </c>
      <c r="AO17" s="20" t="str">
        <f aca="false">IF(AND(AO$5&gt;=$E17,AO$5&lt;=$G17),1,"")</f>
        <v/>
      </c>
      <c r="AP17" s="20" t="str">
        <f aca="false">IF(AND(AP$5&gt;=$E17,AP$5&lt;=$G17),1,"")</f>
        <v/>
      </c>
      <c r="AQ17" s="20" t="str">
        <f aca="false">IF(AND(AQ$5&gt;=$E17,AQ$5&lt;=$G17),1,"")</f>
        <v/>
      </c>
      <c r="AR17" s="20" t="str">
        <f aca="false">IF(AND(AR$5&gt;=$E17,AR$5&lt;=$G17),1,"")</f>
        <v/>
      </c>
      <c r="AS17" s="20" t="str">
        <f aca="false">IF(AND(AS$5&gt;=$E17,AS$5&lt;=$G17),1,"")</f>
        <v/>
      </c>
      <c r="AT17" s="20" t="str">
        <f aca="false">IF(AND(AT$5&gt;=$E17,AT$5&lt;=$G17),1,"")</f>
        <v/>
      </c>
      <c r="AU17" s="20" t="str">
        <f aca="false">IF(AND(AU$5&gt;=$E17,AU$5&lt;=$G17),1,"")</f>
        <v/>
      </c>
      <c r="AV17" s="20" t="str">
        <f aca="false">IF(AND(AV$5&gt;=$E17,AV$5&lt;=$G17),1,"")</f>
        <v/>
      </c>
      <c r="AW17" s="20" t="str">
        <f aca="false">IF(AND(AW$5&gt;=$E17,AW$5&lt;=$G17),1,"")</f>
        <v/>
      </c>
      <c r="AX17" s="20" t="str">
        <f aca="false">IF(AND(AX$5&gt;=$E17,AX$5&lt;=$G17),1,"")</f>
        <v/>
      </c>
      <c r="AY17" s="20" t="str">
        <f aca="false">IF(AND(AY$5&gt;=$E17,AY$5&lt;=$G17),1,"")</f>
        <v/>
      </c>
      <c r="AZ17" s="20" t="str">
        <f aca="false">IF(AND(AZ$5&gt;=$E17,AZ$5&lt;=$G17),1,"")</f>
        <v/>
      </c>
      <c r="BA17" s="20" t="str">
        <f aca="false">IF(AND(BA$5&gt;=$E17,BA$5&lt;=$G17),1,"")</f>
        <v/>
      </c>
      <c r="BB17" s="20" t="str">
        <f aca="false">IF(AND(BB$5&gt;=$E17,BB$5&lt;=$G17),1,"")</f>
        <v/>
      </c>
      <c r="BC17" s="20" t="str">
        <f aca="false">IF(AND(BC$5&gt;=$E17,BC$5&lt;=$G17),1,"")</f>
        <v/>
      </c>
      <c r="BD17" s="20" t="str">
        <f aca="false">IF(AND(BD$5&gt;=$E17,BD$5&lt;=$G17),1,"")</f>
        <v/>
      </c>
      <c r="BE17" s="20" t="n">
        <f aca="false">IF(AND(BE$5&gt;=$E17,BE$5&lt;=$G17),1,"")</f>
        <v>1</v>
      </c>
      <c r="BF17" s="20" t="n">
        <f aca="false">IF(AND(BF$5&gt;=$E17,BF$5&lt;=$G17),1,"")</f>
        <v>1</v>
      </c>
      <c r="BG17" s="20" t="n">
        <f aca="false">IF(AND(BG$5&gt;=$E17,BG$5&lt;=$G17),1,"")</f>
        <v>1</v>
      </c>
      <c r="BH17" s="20" t="n">
        <f aca="false">IF(AND(BH$5&gt;=$E17,BH$5&lt;=$G17),1,"")</f>
        <v>1</v>
      </c>
      <c r="BI17" s="20" t="str">
        <f aca="false">IF(AND(BI$5&gt;=$E17,BI$5&lt;=$G17),1,"")</f>
        <v/>
      </c>
    </row>
    <row r="18" customFormat="false" ht="15" hidden="false" customHeight="false" outlineLevel="0" collapsed="false">
      <c r="A18" s="4" t="s">
        <v>87</v>
      </c>
      <c r="B18" s="4" t="s">
        <v>79</v>
      </c>
      <c r="C18" s="4" t="s">
        <v>88</v>
      </c>
      <c r="D18" s="4" t="s">
        <v>56</v>
      </c>
      <c r="E18" s="18" t="n">
        <v>50</v>
      </c>
      <c r="F18" s="18" t="n">
        <v>2</v>
      </c>
      <c r="G18" s="4" t="n">
        <f aca="false">E18+F18-1</f>
        <v>51</v>
      </c>
      <c r="H18" s="19" t="n">
        <f aca="false">$C$3+(E18-1)*7</f>
        <v>46496</v>
      </c>
      <c r="I18" s="19" t="n">
        <f aca="false">$C$3+G18*7-3</f>
        <v>46507</v>
      </c>
      <c r="J18" s="20" t="str">
        <f aca="false">IF(AND(J$5&gt;=$E18,J$5&lt;=$G18),1,"")</f>
        <v/>
      </c>
      <c r="K18" s="20" t="str">
        <f aca="false">IF(AND(K$5&gt;=$E18,K$5&lt;=$G18),1,"")</f>
        <v/>
      </c>
      <c r="L18" s="20" t="str">
        <f aca="false">IF(AND(L$5&gt;=$E18,L$5&lt;=$G18),1,"")</f>
        <v/>
      </c>
      <c r="M18" s="20" t="str">
        <f aca="false">IF(AND(M$5&gt;=$E18,M$5&lt;=$G18),1,"")</f>
        <v/>
      </c>
      <c r="N18" s="20" t="str">
        <f aca="false">IF(AND(N$5&gt;=$E18,N$5&lt;=$G18),1,"")</f>
        <v/>
      </c>
      <c r="O18" s="20" t="str">
        <f aca="false">IF(AND(O$5&gt;=$E18,O$5&lt;=$G18),1,"")</f>
        <v/>
      </c>
      <c r="P18" s="20" t="str">
        <f aca="false">IF(AND(P$5&gt;=$E18,P$5&lt;=$G18),1,"")</f>
        <v/>
      </c>
      <c r="Q18" s="20" t="str">
        <f aca="false">IF(AND(Q$5&gt;=$E18,Q$5&lt;=$G18),1,"")</f>
        <v/>
      </c>
      <c r="R18" s="20" t="str">
        <f aca="false">IF(AND(R$5&gt;=$E18,R$5&lt;=$G18),1,"")</f>
        <v/>
      </c>
      <c r="S18" s="20" t="str">
        <f aca="false">IF(AND(S$5&gt;=$E18,S$5&lt;=$G18),1,"")</f>
        <v/>
      </c>
      <c r="T18" s="20" t="str">
        <f aca="false">IF(AND(T$5&gt;=$E18,T$5&lt;=$G18),1,"")</f>
        <v/>
      </c>
      <c r="U18" s="20" t="str">
        <f aca="false">IF(AND(U$5&gt;=$E18,U$5&lt;=$G18),1,"")</f>
        <v/>
      </c>
      <c r="V18" s="20" t="str">
        <f aca="false">IF(AND(V$5&gt;=$E18,V$5&lt;=$G18),1,"")</f>
        <v/>
      </c>
      <c r="W18" s="20" t="str">
        <f aca="false">IF(AND(W$5&gt;=$E18,W$5&lt;=$G18),1,"")</f>
        <v/>
      </c>
      <c r="X18" s="20" t="str">
        <f aca="false">IF(AND(X$5&gt;=$E18,X$5&lt;=$G18),1,"")</f>
        <v/>
      </c>
      <c r="Y18" s="20" t="str">
        <f aca="false">IF(AND(Y$5&gt;=$E18,Y$5&lt;=$G18),1,"")</f>
        <v/>
      </c>
      <c r="Z18" s="20" t="str">
        <f aca="false">IF(AND(Z$5&gt;=$E18,Z$5&lt;=$G18),1,"")</f>
        <v/>
      </c>
      <c r="AA18" s="20" t="str">
        <f aca="false">IF(AND(AA$5&gt;=$E18,AA$5&lt;=$G18),1,"")</f>
        <v/>
      </c>
      <c r="AB18" s="20" t="str">
        <f aca="false">IF(AND(AB$5&gt;=$E18,AB$5&lt;=$G18),1,"")</f>
        <v/>
      </c>
      <c r="AC18" s="20" t="str">
        <f aca="false">IF(AND(AC$5&gt;=$E18,AC$5&lt;=$G18),1,"")</f>
        <v/>
      </c>
      <c r="AD18" s="20" t="str">
        <f aca="false">IF(AND(AD$5&gt;=$E18,AD$5&lt;=$G18),1,"")</f>
        <v/>
      </c>
      <c r="AE18" s="20" t="str">
        <f aca="false">IF(AND(AE$5&gt;=$E18,AE$5&lt;=$G18),1,"")</f>
        <v/>
      </c>
      <c r="AF18" s="20" t="str">
        <f aca="false">IF(AND(AF$5&gt;=$E18,AF$5&lt;=$G18),1,"")</f>
        <v/>
      </c>
      <c r="AG18" s="20" t="str">
        <f aca="false">IF(AND(AG$5&gt;=$E18,AG$5&lt;=$G18),1,"")</f>
        <v/>
      </c>
      <c r="AH18" s="20" t="str">
        <f aca="false">IF(AND(AH$5&gt;=$E18,AH$5&lt;=$G18),1,"")</f>
        <v/>
      </c>
      <c r="AI18" s="20" t="str">
        <f aca="false">IF(AND(AI$5&gt;=$E18,AI$5&lt;=$G18),1,"")</f>
        <v/>
      </c>
      <c r="AJ18" s="20" t="str">
        <f aca="false">IF(AND(AJ$5&gt;=$E18,AJ$5&lt;=$G18),1,"")</f>
        <v/>
      </c>
      <c r="AK18" s="20" t="str">
        <f aca="false">IF(AND(AK$5&gt;=$E18,AK$5&lt;=$G18),1,"")</f>
        <v/>
      </c>
      <c r="AL18" s="20" t="str">
        <f aca="false">IF(AND(AL$5&gt;=$E18,AL$5&lt;=$G18),1,"")</f>
        <v/>
      </c>
      <c r="AM18" s="20" t="str">
        <f aca="false">IF(AND(AM$5&gt;=$E18,AM$5&lt;=$G18),1,"")</f>
        <v/>
      </c>
      <c r="AN18" s="20" t="str">
        <f aca="false">IF(AND(AN$5&gt;=$E18,AN$5&lt;=$G18),1,"")</f>
        <v/>
      </c>
      <c r="AO18" s="20" t="str">
        <f aca="false">IF(AND(AO$5&gt;=$E18,AO$5&lt;=$G18),1,"")</f>
        <v/>
      </c>
      <c r="AP18" s="20" t="str">
        <f aca="false">IF(AND(AP$5&gt;=$E18,AP$5&lt;=$G18),1,"")</f>
        <v/>
      </c>
      <c r="AQ18" s="20" t="str">
        <f aca="false">IF(AND(AQ$5&gt;=$E18,AQ$5&lt;=$G18),1,"")</f>
        <v/>
      </c>
      <c r="AR18" s="20" t="str">
        <f aca="false">IF(AND(AR$5&gt;=$E18,AR$5&lt;=$G18),1,"")</f>
        <v/>
      </c>
      <c r="AS18" s="20" t="str">
        <f aca="false">IF(AND(AS$5&gt;=$E18,AS$5&lt;=$G18),1,"")</f>
        <v/>
      </c>
      <c r="AT18" s="20" t="str">
        <f aca="false">IF(AND(AT$5&gt;=$E18,AT$5&lt;=$G18),1,"")</f>
        <v/>
      </c>
      <c r="AU18" s="20" t="str">
        <f aca="false">IF(AND(AU$5&gt;=$E18,AU$5&lt;=$G18),1,"")</f>
        <v/>
      </c>
      <c r="AV18" s="20" t="str">
        <f aca="false">IF(AND(AV$5&gt;=$E18,AV$5&lt;=$G18),1,"")</f>
        <v/>
      </c>
      <c r="AW18" s="20" t="str">
        <f aca="false">IF(AND(AW$5&gt;=$E18,AW$5&lt;=$G18),1,"")</f>
        <v/>
      </c>
      <c r="AX18" s="20" t="str">
        <f aca="false">IF(AND(AX$5&gt;=$E18,AX$5&lt;=$G18),1,"")</f>
        <v/>
      </c>
      <c r="AY18" s="20" t="str">
        <f aca="false">IF(AND(AY$5&gt;=$E18,AY$5&lt;=$G18),1,"")</f>
        <v/>
      </c>
      <c r="AZ18" s="20" t="str">
        <f aca="false">IF(AND(AZ$5&gt;=$E18,AZ$5&lt;=$G18),1,"")</f>
        <v/>
      </c>
      <c r="BA18" s="20" t="str">
        <f aca="false">IF(AND(BA$5&gt;=$E18,BA$5&lt;=$G18),1,"")</f>
        <v/>
      </c>
      <c r="BB18" s="20" t="str">
        <f aca="false">IF(AND(BB$5&gt;=$E18,BB$5&lt;=$G18),1,"")</f>
        <v/>
      </c>
      <c r="BC18" s="20" t="str">
        <f aca="false">IF(AND(BC$5&gt;=$E18,BC$5&lt;=$G18),1,"")</f>
        <v/>
      </c>
      <c r="BD18" s="20" t="str">
        <f aca="false">IF(AND(BD$5&gt;=$E18,BD$5&lt;=$G18),1,"")</f>
        <v/>
      </c>
      <c r="BE18" s="20" t="str">
        <f aca="false">IF(AND(BE$5&gt;=$E18,BE$5&lt;=$G18),1,"")</f>
        <v/>
      </c>
      <c r="BF18" s="20" t="str">
        <f aca="false">IF(AND(BF$5&gt;=$E18,BF$5&lt;=$G18),1,"")</f>
        <v/>
      </c>
      <c r="BG18" s="20" t="n">
        <f aca="false">IF(AND(BG$5&gt;=$E18,BG$5&lt;=$G18),1,"")</f>
        <v>1</v>
      </c>
      <c r="BH18" s="20" t="n">
        <f aca="false">IF(AND(BH$5&gt;=$E18,BH$5&lt;=$G18),1,"")</f>
        <v>1</v>
      </c>
      <c r="BI18" s="20" t="str">
        <f aca="false">IF(AND(BI$5&gt;=$E18,BI$5&lt;=$G18),1,"")</f>
        <v/>
      </c>
    </row>
    <row r="19" customFormat="false" ht="15" hidden="false" customHeight="false" outlineLevel="0" collapsed="false">
      <c r="A19" s="4" t="s">
        <v>89</v>
      </c>
      <c r="B19" s="4" t="s">
        <v>90</v>
      </c>
      <c r="C19" s="3" t="s">
        <v>91</v>
      </c>
      <c r="D19" s="4"/>
      <c r="E19" s="18" t="n">
        <v>2</v>
      </c>
      <c r="F19" s="18" t="n">
        <v>0</v>
      </c>
      <c r="G19" s="4" t="n">
        <f aca="false">E19</f>
        <v>2</v>
      </c>
      <c r="H19" s="19" t="n">
        <f aca="false">$C$3+(E19-1)*7</f>
        <v>46160</v>
      </c>
      <c r="I19" s="19" t="n">
        <f aca="false">H19</f>
        <v>46160</v>
      </c>
      <c r="J19" s="20" t="str">
        <f aca="false">IF(J$5=$E19,"◆","")</f>
        <v/>
      </c>
      <c r="K19" s="20" t="str">
        <f aca="false">IF(K$5=$E19,"◆","")</f>
        <v>◆</v>
      </c>
      <c r="L19" s="20" t="str">
        <f aca="false">IF(L$5=$E19,"◆","")</f>
        <v/>
      </c>
      <c r="M19" s="20" t="str">
        <f aca="false">IF(M$5=$E19,"◆","")</f>
        <v/>
      </c>
      <c r="N19" s="20" t="str">
        <f aca="false">IF(N$5=$E19,"◆","")</f>
        <v/>
      </c>
      <c r="O19" s="20" t="str">
        <f aca="false">IF(O$5=$E19,"◆","")</f>
        <v/>
      </c>
      <c r="P19" s="20" t="str">
        <f aca="false">IF(P$5=$E19,"◆","")</f>
        <v/>
      </c>
      <c r="Q19" s="20" t="str">
        <f aca="false">IF(Q$5=$E19,"◆","")</f>
        <v/>
      </c>
      <c r="R19" s="20" t="str">
        <f aca="false">IF(R$5=$E19,"◆","")</f>
        <v/>
      </c>
      <c r="S19" s="20" t="str">
        <f aca="false">IF(S$5=$E19,"◆","")</f>
        <v/>
      </c>
      <c r="T19" s="20" t="str">
        <f aca="false">IF(T$5=$E19,"◆","")</f>
        <v/>
      </c>
      <c r="U19" s="20" t="str">
        <f aca="false">IF(U$5=$E19,"◆","")</f>
        <v/>
      </c>
      <c r="V19" s="20" t="str">
        <f aca="false">IF(V$5=$E19,"◆","")</f>
        <v/>
      </c>
      <c r="W19" s="20" t="str">
        <f aca="false">IF(W$5=$E19,"◆","")</f>
        <v/>
      </c>
      <c r="X19" s="20" t="str">
        <f aca="false">IF(X$5=$E19,"◆","")</f>
        <v/>
      </c>
      <c r="Y19" s="20" t="str">
        <f aca="false">IF(Y$5=$E19,"◆","")</f>
        <v/>
      </c>
      <c r="Z19" s="20" t="str">
        <f aca="false">IF(Z$5=$E19,"◆","")</f>
        <v/>
      </c>
      <c r="AA19" s="20" t="str">
        <f aca="false">IF(AA$5=$E19,"◆","")</f>
        <v/>
      </c>
      <c r="AB19" s="20" t="str">
        <f aca="false">IF(AB$5=$E19,"◆","")</f>
        <v/>
      </c>
      <c r="AC19" s="20" t="str">
        <f aca="false">IF(AC$5=$E19,"◆","")</f>
        <v/>
      </c>
      <c r="AD19" s="20" t="str">
        <f aca="false">IF(AD$5=$E19,"◆","")</f>
        <v/>
      </c>
      <c r="AE19" s="20" t="str">
        <f aca="false">IF(AE$5=$E19,"◆","")</f>
        <v/>
      </c>
      <c r="AF19" s="20" t="str">
        <f aca="false">IF(AF$5=$E19,"◆","")</f>
        <v/>
      </c>
      <c r="AG19" s="20" t="str">
        <f aca="false">IF(AG$5=$E19,"◆","")</f>
        <v/>
      </c>
      <c r="AH19" s="20" t="str">
        <f aca="false">IF(AH$5=$E19,"◆","")</f>
        <v/>
      </c>
      <c r="AI19" s="20" t="str">
        <f aca="false">IF(AI$5=$E19,"◆","")</f>
        <v/>
      </c>
      <c r="AJ19" s="20" t="str">
        <f aca="false">IF(AJ$5=$E19,"◆","")</f>
        <v/>
      </c>
      <c r="AK19" s="20" t="str">
        <f aca="false">IF(AK$5=$E19,"◆","")</f>
        <v/>
      </c>
      <c r="AL19" s="20" t="str">
        <f aca="false">IF(AL$5=$E19,"◆","")</f>
        <v/>
      </c>
      <c r="AM19" s="20" t="str">
        <f aca="false">IF(AM$5=$E19,"◆","")</f>
        <v/>
      </c>
      <c r="AN19" s="20" t="str">
        <f aca="false">IF(AN$5=$E19,"◆","")</f>
        <v/>
      </c>
      <c r="AO19" s="20" t="str">
        <f aca="false">IF(AO$5=$E19,"◆","")</f>
        <v/>
      </c>
      <c r="AP19" s="20" t="str">
        <f aca="false">IF(AP$5=$E19,"◆","")</f>
        <v/>
      </c>
      <c r="AQ19" s="20" t="str">
        <f aca="false">IF(AQ$5=$E19,"◆","")</f>
        <v/>
      </c>
      <c r="AR19" s="20" t="str">
        <f aca="false">IF(AR$5=$E19,"◆","")</f>
        <v/>
      </c>
      <c r="AS19" s="20" t="str">
        <f aca="false">IF(AS$5=$E19,"◆","")</f>
        <v/>
      </c>
      <c r="AT19" s="20" t="str">
        <f aca="false">IF(AT$5=$E19,"◆","")</f>
        <v/>
      </c>
      <c r="AU19" s="20" t="str">
        <f aca="false">IF(AU$5=$E19,"◆","")</f>
        <v/>
      </c>
      <c r="AV19" s="20" t="str">
        <f aca="false">IF(AV$5=$E19,"◆","")</f>
        <v/>
      </c>
      <c r="AW19" s="20" t="str">
        <f aca="false">IF(AW$5=$E19,"◆","")</f>
        <v/>
      </c>
      <c r="AX19" s="20" t="str">
        <f aca="false">IF(AX$5=$E19,"◆","")</f>
        <v/>
      </c>
      <c r="AY19" s="20" t="str">
        <f aca="false">IF(AY$5=$E19,"◆","")</f>
        <v/>
      </c>
      <c r="AZ19" s="20" t="str">
        <f aca="false">IF(AZ$5=$E19,"◆","")</f>
        <v/>
      </c>
      <c r="BA19" s="20" t="str">
        <f aca="false">IF(BA$5=$E19,"◆","")</f>
        <v/>
      </c>
      <c r="BB19" s="20" t="str">
        <f aca="false">IF(BB$5=$E19,"◆","")</f>
        <v/>
      </c>
      <c r="BC19" s="20" t="str">
        <f aca="false">IF(BC$5=$E19,"◆","")</f>
        <v/>
      </c>
      <c r="BD19" s="20" t="str">
        <f aca="false">IF(BD$5=$E19,"◆","")</f>
        <v/>
      </c>
      <c r="BE19" s="20" t="str">
        <f aca="false">IF(BE$5=$E19,"◆","")</f>
        <v/>
      </c>
      <c r="BF19" s="20" t="str">
        <f aca="false">IF(BF$5=$E19,"◆","")</f>
        <v/>
      </c>
      <c r="BG19" s="20" t="str">
        <f aca="false">IF(BG$5=$E19,"◆","")</f>
        <v/>
      </c>
      <c r="BH19" s="20" t="str">
        <f aca="false">IF(BH$5=$E19,"◆","")</f>
        <v/>
      </c>
      <c r="BI19" s="20" t="str">
        <f aca="false">IF(BI$5=$E19,"◆","")</f>
        <v/>
      </c>
    </row>
    <row r="20" customFormat="false" ht="15" hidden="false" customHeight="false" outlineLevel="0" collapsed="false">
      <c r="A20" s="4" t="s">
        <v>92</v>
      </c>
      <c r="B20" s="4" t="s">
        <v>90</v>
      </c>
      <c r="C20" s="3" t="s">
        <v>93</v>
      </c>
      <c r="D20" s="4"/>
      <c r="E20" s="18" t="n">
        <v>4</v>
      </c>
      <c r="F20" s="18" t="n">
        <v>0</v>
      </c>
      <c r="G20" s="4" t="n">
        <f aca="false">E20</f>
        <v>4</v>
      </c>
      <c r="H20" s="19" t="n">
        <f aca="false">$C$3+(E20-1)*7</f>
        <v>46174</v>
      </c>
      <c r="I20" s="19" t="n">
        <f aca="false">H20</f>
        <v>46174</v>
      </c>
      <c r="J20" s="20" t="str">
        <f aca="false">IF(J$5=$E20,"◆","")</f>
        <v/>
      </c>
      <c r="K20" s="20" t="str">
        <f aca="false">IF(K$5=$E20,"◆","")</f>
        <v/>
      </c>
      <c r="L20" s="20" t="str">
        <f aca="false">IF(L$5=$E20,"◆","")</f>
        <v/>
      </c>
      <c r="M20" s="20" t="str">
        <f aca="false">IF(M$5=$E20,"◆","")</f>
        <v>◆</v>
      </c>
      <c r="N20" s="20" t="str">
        <f aca="false">IF(N$5=$E20,"◆","")</f>
        <v/>
      </c>
      <c r="O20" s="20" t="str">
        <f aca="false">IF(O$5=$E20,"◆","")</f>
        <v/>
      </c>
      <c r="P20" s="20" t="str">
        <f aca="false">IF(P$5=$E20,"◆","")</f>
        <v/>
      </c>
      <c r="Q20" s="20" t="str">
        <f aca="false">IF(Q$5=$E20,"◆","")</f>
        <v/>
      </c>
      <c r="R20" s="20" t="str">
        <f aca="false">IF(R$5=$E20,"◆","")</f>
        <v/>
      </c>
      <c r="S20" s="20" t="str">
        <f aca="false">IF(S$5=$E20,"◆","")</f>
        <v/>
      </c>
      <c r="T20" s="20" t="str">
        <f aca="false">IF(T$5=$E20,"◆","")</f>
        <v/>
      </c>
      <c r="U20" s="20" t="str">
        <f aca="false">IF(U$5=$E20,"◆","")</f>
        <v/>
      </c>
      <c r="V20" s="20" t="str">
        <f aca="false">IF(V$5=$E20,"◆","")</f>
        <v/>
      </c>
      <c r="W20" s="20" t="str">
        <f aca="false">IF(W$5=$E20,"◆","")</f>
        <v/>
      </c>
      <c r="X20" s="20" t="str">
        <f aca="false">IF(X$5=$E20,"◆","")</f>
        <v/>
      </c>
      <c r="Y20" s="20" t="str">
        <f aca="false">IF(Y$5=$E20,"◆","")</f>
        <v/>
      </c>
      <c r="Z20" s="20" t="str">
        <f aca="false">IF(Z$5=$E20,"◆","")</f>
        <v/>
      </c>
      <c r="AA20" s="20" t="str">
        <f aca="false">IF(AA$5=$E20,"◆","")</f>
        <v/>
      </c>
      <c r="AB20" s="20" t="str">
        <f aca="false">IF(AB$5=$E20,"◆","")</f>
        <v/>
      </c>
      <c r="AC20" s="20" t="str">
        <f aca="false">IF(AC$5=$E20,"◆","")</f>
        <v/>
      </c>
      <c r="AD20" s="20" t="str">
        <f aca="false">IF(AD$5=$E20,"◆","")</f>
        <v/>
      </c>
      <c r="AE20" s="20" t="str">
        <f aca="false">IF(AE$5=$E20,"◆","")</f>
        <v/>
      </c>
      <c r="AF20" s="20" t="str">
        <f aca="false">IF(AF$5=$E20,"◆","")</f>
        <v/>
      </c>
      <c r="AG20" s="20" t="str">
        <f aca="false">IF(AG$5=$E20,"◆","")</f>
        <v/>
      </c>
      <c r="AH20" s="20" t="str">
        <f aca="false">IF(AH$5=$E20,"◆","")</f>
        <v/>
      </c>
      <c r="AI20" s="20" t="str">
        <f aca="false">IF(AI$5=$E20,"◆","")</f>
        <v/>
      </c>
      <c r="AJ20" s="20" t="str">
        <f aca="false">IF(AJ$5=$E20,"◆","")</f>
        <v/>
      </c>
      <c r="AK20" s="20" t="str">
        <f aca="false">IF(AK$5=$E20,"◆","")</f>
        <v/>
      </c>
      <c r="AL20" s="20" t="str">
        <f aca="false">IF(AL$5=$E20,"◆","")</f>
        <v/>
      </c>
      <c r="AM20" s="20" t="str">
        <f aca="false">IF(AM$5=$E20,"◆","")</f>
        <v/>
      </c>
      <c r="AN20" s="20" t="str">
        <f aca="false">IF(AN$5=$E20,"◆","")</f>
        <v/>
      </c>
      <c r="AO20" s="20" t="str">
        <f aca="false">IF(AO$5=$E20,"◆","")</f>
        <v/>
      </c>
      <c r="AP20" s="20" t="str">
        <f aca="false">IF(AP$5=$E20,"◆","")</f>
        <v/>
      </c>
      <c r="AQ20" s="20" t="str">
        <f aca="false">IF(AQ$5=$E20,"◆","")</f>
        <v/>
      </c>
      <c r="AR20" s="20" t="str">
        <f aca="false">IF(AR$5=$E20,"◆","")</f>
        <v/>
      </c>
      <c r="AS20" s="20" t="str">
        <f aca="false">IF(AS$5=$E20,"◆","")</f>
        <v/>
      </c>
      <c r="AT20" s="20" t="str">
        <f aca="false">IF(AT$5=$E20,"◆","")</f>
        <v/>
      </c>
      <c r="AU20" s="20" t="str">
        <f aca="false">IF(AU$5=$E20,"◆","")</f>
        <v/>
      </c>
      <c r="AV20" s="20" t="str">
        <f aca="false">IF(AV$5=$E20,"◆","")</f>
        <v/>
      </c>
      <c r="AW20" s="20" t="str">
        <f aca="false">IF(AW$5=$E20,"◆","")</f>
        <v/>
      </c>
      <c r="AX20" s="20" t="str">
        <f aca="false">IF(AX$5=$E20,"◆","")</f>
        <v/>
      </c>
      <c r="AY20" s="20" t="str">
        <f aca="false">IF(AY$5=$E20,"◆","")</f>
        <v/>
      </c>
      <c r="AZ20" s="20" t="str">
        <f aca="false">IF(AZ$5=$E20,"◆","")</f>
        <v/>
      </c>
      <c r="BA20" s="20" t="str">
        <f aca="false">IF(BA$5=$E20,"◆","")</f>
        <v/>
      </c>
      <c r="BB20" s="20" t="str">
        <f aca="false">IF(BB$5=$E20,"◆","")</f>
        <v/>
      </c>
      <c r="BC20" s="20" t="str">
        <f aca="false">IF(BC$5=$E20,"◆","")</f>
        <v/>
      </c>
      <c r="BD20" s="20" t="str">
        <f aca="false">IF(BD$5=$E20,"◆","")</f>
        <v/>
      </c>
      <c r="BE20" s="20" t="str">
        <f aca="false">IF(BE$5=$E20,"◆","")</f>
        <v/>
      </c>
      <c r="BF20" s="20" t="str">
        <f aca="false">IF(BF$5=$E20,"◆","")</f>
        <v/>
      </c>
      <c r="BG20" s="20" t="str">
        <f aca="false">IF(BG$5=$E20,"◆","")</f>
        <v/>
      </c>
      <c r="BH20" s="20" t="str">
        <f aca="false">IF(BH$5=$E20,"◆","")</f>
        <v/>
      </c>
      <c r="BI20" s="20" t="str">
        <f aca="false">IF(BI$5=$E20,"◆","")</f>
        <v/>
      </c>
    </row>
    <row r="21" customFormat="false" ht="15" hidden="false" customHeight="false" outlineLevel="0" collapsed="false">
      <c r="A21" s="4" t="s">
        <v>94</v>
      </c>
      <c r="B21" s="4" t="s">
        <v>90</v>
      </c>
      <c r="C21" s="3" t="s">
        <v>95</v>
      </c>
      <c r="D21" s="4"/>
      <c r="E21" s="18" t="n">
        <v>8</v>
      </c>
      <c r="F21" s="18" t="n">
        <v>0</v>
      </c>
      <c r="G21" s="4" t="n">
        <f aca="false">E21</f>
        <v>8</v>
      </c>
      <c r="H21" s="19" t="n">
        <f aca="false">$C$3+(E21-1)*7</f>
        <v>46202</v>
      </c>
      <c r="I21" s="19" t="n">
        <f aca="false">H21</f>
        <v>46202</v>
      </c>
      <c r="J21" s="20" t="str">
        <f aca="false">IF(J$5=$E21,"◆","")</f>
        <v/>
      </c>
      <c r="K21" s="20" t="str">
        <f aca="false">IF(K$5=$E21,"◆","")</f>
        <v/>
      </c>
      <c r="L21" s="20" t="str">
        <f aca="false">IF(L$5=$E21,"◆","")</f>
        <v/>
      </c>
      <c r="M21" s="20" t="str">
        <f aca="false">IF(M$5=$E21,"◆","")</f>
        <v/>
      </c>
      <c r="N21" s="20" t="str">
        <f aca="false">IF(N$5=$E21,"◆","")</f>
        <v/>
      </c>
      <c r="O21" s="20" t="str">
        <f aca="false">IF(O$5=$E21,"◆","")</f>
        <v/>
      </c>
      <c r="P21" s="20" t="str">
        <f aca="false">IF(P$5=$E21,"◆","")</f>
        <v/>
      </c>
      <c r="Q21" s="20" t="str">
        <f aca="false">IF(Q$5=$E21,"◆","")</f>
        <v>◆</v>
      </c>
      <c r="R21" s="20" t="str">
        <f aca="false">IF(R$5=$E21,"◆","")</f>
        <v/>
      </c>
      <c r="S21" s="20" t="str">
        <f aca="false">IF(S$5=$E21,"◆","")</f>
        <v/>
      </c>
      <c r="T21" s="20" t="str">
        <f aca="false">IF(T$5=$E21,"◆","")</f>
        <v/>
      </c>
      <c r="U21" s="20" t="str">
        <f aca="false">IF(U$5=$E21,"◆","")</f>
        <v/>
      </c>
      <c r="V21" s="20" t="str">
        <f aca="false">IF(V$5=$E21,"◆","")</f>
        <v/>
      </c>
      <c r="W21" s="20" t="str">
        <f aca="false">IF(W$5=$E21,"◆","")</f>
        <v/>
      </c>
      <c r="X21" s="20" t="str">
        <f aca="false">IF(X$5=$E21,"◆","")</f>
        <v/>
      </c>
      <c r="Y21" s="20" t="str">
        <f aca="false">IF(Y$5=$E21,"◆","")</f>
        <v/>
      </c>
      <c r="Z21" s="20" t="str">
        <f aca="false">IF(Z$5=$E21,"◆","")</f>
        <v/>
      </c>
      <c r="AA21" s="20" t="str">
        <f aca="false">IF(AA$5=$E21,"◆","")</f>
        <v/>
      </c>
      <c r="AB21" s="20" t="str">
        <f aca="false">IF(AB$5=$E21,"◆","")</f>
        <v/>
      </c>
      <c r="AC21" s="20" t="str">
        <f aca="false">IF(AC$5=$E21,"◆","")</f>
        <v/>
      </c>
      <c r="AD21" s="20" t="str">
        <f aca="false">IF(AD$5=$E21,"◆","")</f>
        <v/>
      </c>
      <c r="AE21" s="20" t="str">
        <f aca="false">IF(AE$5=$E21,"◆","")</f>
        <v/>
      </c>
      <c r="AF21" s="20" t="str">
        <f aca="false">IF(AF$5=$E21,"◆","")</f>
        <v/>
      </c>
      <c r="AG21" s="20" t="str">
        <f aca="false">IF(AG$5=$E21,"◆","")</f>
        <v/>
      </c>
      <c r="AH21" s="20" t="str">
        <f aca="false">IF(AH$5=$E21,"◆","")</f>
        <v/>
      </c>
      <c r="AI21" s="20" t="str">
        <f aca="false">IF(AI$5=$E21,"◆","")</f>
        <v/>
      </c>
      <c r="AJ21" s="20" t="str">
        <f aca="false">IF(AJ$5=$E21,"◆","")</f>
        <v/>
      </c>
      <c r="AK21" s="20" t="str">
        <f aca="false">IF(AK$5=$E21,"◆","")</f>
        <v/>
      </c>
      <c r="AL21" s="20" t="str">
        <f aca="false">IF(AL$5=$E21,"◆","")</f>
        <v/>
      </c>
      <c r="AM21" s="20" t="str">
        <f aca="false">IF(AM$5=$E21,"◆","")</f>
        <v/>
      </c>
      <c r="AN21" s="20" t="str">
        <f aca="false">IF(AN$5=$E21,"◆","")</f>
        <v/>
      </c>
      <c r="AO21" s="20" t="str">
        <f aca="false">IF(AO$5=$E21,"◆","")</f>
        <v/>
      </c>
      <c r="AP21" s="20" t="str">
        <f aca="false">IF(AP$5=$E21,"◆","")</f>
        <v/>
      </c>
      <c r="AQ21" s="20" t="str">
        <f aca="false">IF(AQ$5=$E21,"◆","")</f>
        <v/>
      </c>
      <c r="AR21" s="20" t="str">
        <f aca="false">IF(AR$5=$E21,"◆","")</f>
        <v/>
      </c>
      <c r="AS21" s="20" t="str">
        <f aca="false">IF(AS$5=$E21,"◆","")</f>
        <v/>
      </c>
      <c r="AT21" s="20" t="str">
        <f aca="false">IF(AT$5=$E21,"◆","")</f>
        <v/>
      </c>
      <c r="AU21" s="20" t="str">
        <f aca="false">IF(AU$5=$E21,"◆","")</f>
        <v/>
      </c>
      <c r="AV21" s="20" t="str">
        <f aca="false">IF(AV$5=$E21,"◆","")</f>
        <v/>
      </c>
      <c r="AW21" s="20" t="str">
        <f aca="false">IF(AW$5=$E21,"◆","")</f>
        <v/>
      </c>
      <c r="AX21" s="20" t="str">
        <f aca="false">IF(AX$5=$E21,"◆","")</f>
        <v/>
      </c>
      <c r="AY21" s="20" t="str">
        <f aca="false">IF(AY$5=$E21,"◆","")</f>
        <v/>
      </c>
      <c r="AZ21" s="20" t="str">
        <f aca="false">IF(AZ$5=$E21,"◆","")</f>
        <v/>
      </c>
      <c r="BA21" s="20" t="str">
        <f aca="false">IF(BA$5=$E21,"◆","")</f>
        <v/>
      </c>
      <c r="BB21" s="20" t="str">
        <f aca="false">IF(BB$5=$E21,"◆","")</f>
        <v/>
      </c>
      <c r="BC21" s="20" t="str">
        <f aca="false">IF(BC$5=$E21,"◆","")</f>
        <v/>
      </c>
      <c r="BD21" s="20" t="str">
        <f aca="false">IF(BD$5=$E21,"◆","")</f>
        <v/>
      </c>
      <c r="BE21" s="20" t="str">
        <f aca="false">IF(BE$5=$E21,"◆","")</f>
        <v/>
      </c>
      <c r="BF21" s="20" t="str">
        <f aca="false">IF(BF$5=$E21,"◆","")</f>
        <v/>
      </c>
      <c r="BG21" s="20" t="str">
        <f aca="false">IF(BG$5=$E21,"◆","")</f>
        <v/>
      </c>
      <c r="BH21" s="20" t="str">
        <f aca="false">IF(BH$5=$E21,"◆","")</f>
        <v/>
      </c>
      <c r="BI21" s="20" t="str">
        <f aca="false">IF(BI$5=$E21,"◆","")</f>
        <v/>
      </c>
    </row>
    <row r="22" customFormat="false" ht="15" hidden="false" customHeight="false" outlineLevel="0" collapsed="false">
      <c r="A22" s="4" t="s">
        <v>96</v>
      </c>
      <c r="B22" s="4" t="s">
        <v>90</v>
      </c>
      <c r="C22" s="3" t="s">
        <v>97</v>
      </c>
      <c r="D22" s="4"/>
      <c r="E22" s="18" t="n">
        <v>14</v>
      </c>
      <c r="F22" s="18" t="n">
        <v>0</v>
      </c>
      <c r="G22" s="4" t="n">
        <f aca="false">E22</f>
        <v>14</v>
      </c>
      <c r="H22" s="19" t="n">
        <f aca="false">$C$3+(E22-1)*7</f>
        <v>46244</v>
      </c>
      <c r="I22" s="19" t="n">
        <f aca="false">H22</f>
        <v>46244</v>
      </c>
      <c r="J22" s="20" t="str">
        <f aca="false">IF(J$5=$E22,"◆","")</f>
        <v/>
      </c>
      <c r="K22" s="20" t="str">
        <f aca="false">IF(K$5=$E22,"◆","")</f>
        <v/>
      </c>
      <c r="L22" s="20" t="str">
        <f aca="false">IF(L$5=$E22,"◆","")</f>
        <v/>
      </c>
      <c r="M22" s="20" t="str">
        <f aca="false">IF(M$5=$E22,"◆","")</f>
        <v/>
      </c>
      <c r="N22" s="20" t="str">
        <f aca="false">IF(N$5=$E22,"◆","")</f>
        <v/>
      </c>
      <c r="O22" s="20" t="str">
        <f aca="false">IF(O$5=$E22,"◆","")</f>
        <v/>
      </c>
      <c r="P22" s="20" t="str">
        <f aca="false">IF(P$5=$E22,"◆","")</f>
        <v/>
      </c>
      <c r="Q22" s="20" t="str">
        <f aca="false">IF(Q$5=$E22,"◆","")</f>
        <v/>
      </c>
      <c r="R22" s="20" t="str">
        <f aca="false">IF(R$5=$E22,"◆","")</f>
        <v/>
      </c>
      <c r="S22" s="20" t="str">
        <f aca="false">IF(S$5=$E22,"◆","")</f>
        <v/>
      </c>
      <c r="T22" s="20" t="str">
        <f aca="false">IF(T$5=$E22,"◆","")</f>
        <v/>
      </c>
      <c r="U22" s="20" t="str">
        <f aca="false">IF(U$5=$E22,"◆","")</f>
        <v/>
      </c>
      <c r="V22" s="20" t="str">
        <f aca="false">IF(V$5=$E22,"◆","")</f>
        <v/>
      </c>
      <c r="W22" s="20" t="str">
        <f aca="false">IF(W$5=$E22,"◆","")</f>
        <v>◆</v>
      </c>
      <c r="X22" s="20" t="str">
        <f aca="false">IF(X$5=$E22,"◆","")</f>
        <v/>
      </c>
      <c r="Y22" s="20" t="str">
        <f aca="false">IF(Y$5=$E22,"◆","")</f>
        <v/>
      </c>
      <c r="Z22" s="20" t="str">
        <f aca="false">IF(Z$5=$E22,"◆","")</f>
        <v/>
      </c>
      <c r="AA22" s="20" t="str">
        <f aca="false">IF(AA$5=$E22,"◆","")</f>
        <v/>
      </c>
      <c r="AB22" s="20" t="str">
        <f aca="false">IF(AB$5=$E22,"◆","")</f>
        <v/>
      </c>
      <c r="AC22" s="20" t="str">
        <f aca="false">IF(AC$5=$E22,"◆","")</f>
        <v/>
      </c>
      <c r="AD22" s="20" t="str">
        <f aca="false">IF(AD$5=$E22,"◆","")</f>
        <v/>
      </c>
      <c r="AE22" s="20" t="str">
        <f aca="false">IF(AE$5=$E22,"◆","")</f>
        <v/>
      </c>
      <c r="AF22" s="20" t="str">
        <f aca="false">IF(AF$5=$E22,"◆","")</f>
        <v/>
      </c>
      <c r="AG22" s="20" t="str">
        <f aca="false">IF(AG$5=$E22,"◆","")</f>
        <v/>
      </c>
      <c r="AH22" s="20" t="str">
        <f aca="false">IF(AH$5=$E22,"◆","")</f>
        <v/>
      </c>
      <c r="AI22" s="20" t="str">
        <f aca="false">IF(AI$5=$E22,"◆","")</f>
        <v/>
      </c>
      <c r="AJ22" s="20" t="str">
        <f aca="false">IF(AJ$5=$E22,"◆","")</f>
        <v/>
      </c>
      <c r="AK22" s="20" t="str">
        <f aca="false">IF(AK$5=$E22,"◆","")</f>
        <v/>
      </c>
      <c r="AL22" s="20" t="str">
        <f aca="false">IF(AL$5=$E22,"◆","")</f>
        <v/>
      </c>
      <c r="AM22" s="20" t="str">
        <f aca="false">IF(AM$5=$E22,"◆","")</f>
        <v/>
      </c>
      <c r="AN22" s="20" t="str">
        <f aca="false">IF(AN$5=$E22,"◆","")</f>
        <v/>
      </c>
      <c r="AO22" s="20" t="str">
        <f aca="false">IF(AO$5=$E22,"◆","")</f>
        <v/>
      </c>
      <c r="AP22" s="20" t="str">
        <f aca="false">IF(AP$5=$E22,"◆","")</f>
        <v/>
      </c>
      <c r="AQ22" s="20" t="str">
        <f aca="false">IF(AQ$5=$E22,"◆","")</f>
        <v/>
      </c>
      <c r="AR22" s="20" t="str">
        <f aca="false">IF(AR$5=$E22,"◆","")</f>
        <v/>
      </c>
      <c r="AS22" s="20" t="str">
        <f aca="false">IF(AS$5=$E22,"◆","")</f>
        <v/>
      </c>
      <c r="AT22" s="20" t="str">
        <f aca="false">IF(AT$5=$E22,"◆","")</f>
        <v/>
      </c>
      <c r="AU22" s="20" t="str">
        <f aca="false">IF(AU$5=$E22,"◆","")</f>
        <v/>
      </c>
      <c r="AV22" s="20" t="str">
        <f aca="false">IF(AV$5=$E22,"◆","")</f>
        <v/>
      </c>
      <c r="AW22" s="20" t="str">
        <f aca="false">IF(AW$5=$E22,"◆","")</f>
        <v/>
      </c>
      <c r="AX22" s="20" t="str">
        <f aca="false">IF(AX$5=$E22,"◆","")</f>
        <v/>
      </c>
      <c r="AY22" s="20" t="str">
        <f aca="false">IF(AY$5=$E22,"◆","")</f>
        <v/>
      </c>
      <c r="AZ22" s="20" t="str">
        <f aca="false">IF(AZ$5=$E22,"◆","")</f>
        <v/>
      </c>
      <c r="BA22" s="20" t="str">
        <f aca="false">IF(BA$5=$E22,"◆","")</f>
        <v/>
      </c>
      <c r="BB22" s="20" t="str">
        <f aca="false">IF(BB$5=$E22,"◆","")</f>
        <v/>
      </c>
      <c r="BC22" s="20" t="str">
        <f aca="false">IF(BC$5=$E22,"◆","")</f>
        <v/>
      </c>
      <c r="BD22" s="20" t="str">
        <f aca="false">IF(BD$5=$E22,"◆","")</f>
        <v/>
      </c>
      <c r="BE22" s="20" t="str">
        <f aca="false">IF(BE$5=$E22,"◆","")</f>
        <v/>
      </c>
      <c r="BF22" s="20" t="str">
        <f aca="false">IF(BF$5=$E22,"◆","")</f>
        <v/>
      </c>
      <c r="BG22" s="20" t="str">
        <f aca="false">IF(BG$5=$E22,"◆","")</f>
        <v/>
      </c>
      <c r="BH22" s="20" t="str">
        <f aca="false">IF(BH$5=$E22,"◆","")</f>
        <v/>
      </c>
      <c r="BI22" s="20" t="str">
        <f aca="false">IF(BI$5=$E22,"◆","")</f>
        <v/>
      </c>
    </row>
    <row r="23" customFormat="false" ht="15" hidden="false" customHeight="false" outlineLevel="0" collapsed="false">
      <c r="A23" s="4" t="s">
        <v>98</v>
      </c>
      <c r="B23" s="4" t="s">
        <v>90</v>
      </c>
      <c r="C23" s="3" t="s">
        <v>99</v>
      </c>
      <c r="D23" s="4"/>
      <c r="E23" s="18" t="n">
        <v>24</v>
      </c>
      <c r="F23" s="18" t="n">
        <v>0</v>
      </c>
      <c r="G23" s="4" t="n">
        <f aca="false">E23</f>
        <v>24</v>
      </c>
      <c r="H23" s="19" t="n">
        <f aca="false">$C$3+(E23-1)*7</f>
        <v>46314</v>
      </c>
      <c r="I23" s="19" t="n">
        <f aca="false">H23</f>
        <v>46314</v>
      </c>
      <c r="J23" s="20" t="str">
        <f aca="false">IF(J$5=$E23,"◆","")</f>
        <v/>
      </c>
      <c r="K23" s="20" t="str">
        <f aca="false">IF(K$5=$E23,"◆","")</f>
        <v/>
      </c>
      <c r="L23" s="20" t="str">
        <f aca="false">IF(L$5=$E23,"◆","")</f>
        <v/>
      </c>
      <c r="M23" s="20" t="str">
        <f aca="false">IF(M$5=$E23,"◆","")</f>
        <v/>
      </c>
      <c r="N23" s="20" t="str">
        <f aca="false">IF(N$5=$E23,"◆","")</f>
        <v/>
      </c>
      <c r="O23" s="20" t="str">
        <f aca="false">IF(O$5=$E23,"◆","")</f>
        <v/>
      </c>
      <c r="P23" s="20" t="str">
        <f aca="false">IF(P$5=$E23,"◆","")</f>
        <v/>
      </c>
      <c r="Q23" s="20" t="str">
        <f aca="false">IF(Q$5=$E23,"◆","")</f>
        <v/>
      </c>
      <c r="R23" s="20" t="str">
        <f aca="false">IF(R$5=$E23,"◆","")</f>
        <v/>
      </c>
      <c r="S23" s="20" t="str">
        <f aca="false">IF(S$5=$E23,"◆","")</f>
        <v/>
      </c>
      <c r="T23" s="20" t="str">
        <f aca="false">IF(T$5=$E23,"◆","")</f>
        <v/>
      </c>
      <c r="U23" s="20" t="str">
        <f aca="false">IF(U$5=$E23,"◆","")</f>
        <v/>
      </c>
      <c r="V23" s="20" t="str">
        <f aca="false">IF(V$5=$E23,"◆","")</f>
        <v/>
      </c>
      <c r="W23" s="20" t="str">
        <f aca="false">IF(W$5=$E23,"◆","")</f>
        <v/>
      </c>
      <c r="X23" s="20" t="str">
        <f aca="false">IF(X$5=$E23,"◆","")</f>
        <v/>
      </c>
      <c r="Y23" s="20" t="str">
        <f aca="false">IF(Y$5=$E23,"◆","")</f>
        <v/>
      </c>
      <c r="Z23" s="20" t="str">
        <f aca="false">IF(Z$5=$E23,"◆","")</f>
        <v/>
      </c>
      <c r="AA23" s="20" t="str">
        <f aca="false">IF(AA$5=$E23,"◆","")</f>
        <v/>
      </c>
      <c r="AB23" s="20" t="str">
        <f aca="false">IF(AB$5=$E23,"◆","")</f>
        <v/>
      </c>
      <c r="AC23" s="20" t="str">
        <f aca="false">IF(AC$5=$E23,"◆","")</f>
        <v/>
      </c>
      <c r="AD23" s="20" t="str">
        <f aca="false">IF(AD$5=$E23,"◆","")</f>
        <v/>
      </c>
      <c r="AE23" s="20" t="str">
        <f aca="false">IF(AE$5=$E23,"◆","")</f>
        <v/>
      </c>
      <c r="AF23" s="20" t="str">
        <f aca="false">IF(AF$5=$E23,"◆","")</f>
        <v/>
      </c>
      <c r="AG23" s="20" t="str">
        <f aca="false">IF(AG$5=$E23,"◆","")</f>
        <v>◆</v>
      </c>
      <c r="AH23" s="20" t="str">
        <f aca="false">IF(AH$5=$E23,"◆","")</f>
        <v/>
      </c>
      <c r="AI23" s="20" t="str">
        <f aca="false">IF(AI$5=$E23,"◆","")</f>
        <v/>
      </c>
      <c r="AJ23" s="20" t="str">
        <f aca="false">IF(AJ$5=$E23,"◆","")</f>
        <v/>
      </c>
      <c r="AK23" s="20" t="str">
        <f aca="false">IF(AK$5=$E23,"◆","")</f>
        <v/>
      </c>
      <c r="AL23" s="20" t="str">
        <f aca="false">IF(AL$5=$E23,"◆","")</f>
        <v/>
      </c>
      <c r="AM23" s="20" t="str">
        <f aca="false">IF(AM$5=$E23,"◆","")</f>
        <v/>
      </c>
      <c r="AN23" s="20" t="str">
        <f aca="false">IF(AN$5=$E23,"◆","")</f>
        <v/>
      </c>
      <c r="AO23" s="20" t="str">
        <f aca="false">IF(AO$5=$E23,"◆","")</f>
        <v/>
      </c>
      <c r="AP23" s="20" t="str">
        <f aca="false">IF(AP$5=$E23,"◆","")</f>
        <v/>
      </c>
      <c r="AQ23" s="20" t="str">
        <f aca="false">IF(AQ$5=$E23,"◆","")</f>
        <v/>
      </c>
      <c r="AR23" s="20" t="str">
        <f aca="false">IF(AR$5=$E23,"◆","")</f>
        <v/>
      </c>
      <c r="AS23" s="20" t="str">
        <f aca="false">IF(AS$5=$E23,"◆","")</f>
        <v/>
      </c>
      <c r="AT23" s="20" t="str">
        <f aca="false">IF(AT$5=$E23,"◆","")</f>
        <v/>
      </c>
      <c r="AU23" s="20" t="str">
        <f aca="false">IF(AU$5=$E23,"◆","")</f>
        <v/>
      </c>
      <c r="AV23" s="20" t="str">
        <f aca="false">IF(AV$5=$E23,"◆","")</f>
        <v/>
      </c>
      <c r="AW23" s="20" t="str">
        <f aca="false">IF(AW$5=$E23,"◆","")</f>
        <v/>
      </c>
      <c r="AX23" s="20" t="str">
        <f aca="false">IF(AX$5=$E23,"◆","")</f>
        <v/>
      </c>
      <c r="AY23" s="20" t="str">
        <f aca="false">IF(AY$5=$E23,"◆","")</f>
        <v/>
      </c>
      <c r="AZ23" s="20" t="str">
        <f aca="false">IF(AZ$5=$E23,"◆","")</f>
        <v/>
      </c>
      <c r="BA23" s="20" t="str">
        <f aca="false">IF(BA$5=$E23,"◆","")</f>
        <v/>
      </c>
      <c r="BB23" s="20" t="str">
        <f aca="false">IF(BB$5=$E23,"◆","")</f>
        <v/>
      </c>
      <c r="BC23" s="20" t="str">
        <f aca="false">IF(BC$5=$E23,"◆","")</f>
        <v/>
      </c>
      <c r="BD23" s="20" t="str">
        <f aca="false">IF(BD$5=$E23,"◆","")</f>
        <v/>
      </c>
      <c r="BE23" s="20" t="str">
        <f aca="false">IF(BE$5=$E23,"◆","")</f>
        <v/>
      </c>
      <c r="BF23" s="20" t="str">
        <f aca="false">IF(BF$5=$E23,"◆","")</f>
        <v/>
      </c>
      <c r="BG23" s="20" t="str">
        <f aca="false">IF(BG$5=$E23,"◆","")</f>
        <v/>
      </c>
      <c r="BH23" s="20" t="str">
        <f aca="false">IF(BH$5=$E23,"◆","")</f>
        <v/>
      </c>
      <c r="BI23" s="20" t="str">
        <f aca="false">IF(BI$5=$E23,"◆","")</f>
        <v/>
      </c>
    </row>
    <row r="24" customFormat="false" ht="15" hidden="false" customHeight="false" outlineLevel="0" collapsed="false">
      <c r="A24" s="4" t="s">
        <v>100</v>
      </c>
      <c r="B24" s="4" t="s">
        <v>90</v>
      </c>
      <c r="C24" s="3" t="s">
        <v>101</v>
      </c>
      <c r="D24" s="4"/>
      <c r="E24" s="18" t="n">
        <v>36</v>
      </c>
      <c r="F24" s="18" t="n">
        <v>0</v>
      </c>
      <c r="G24" s="4" t="n">
        <f aca="false">E24</f>
        <v>36</v>
      </c>
      <c r="H24" s="19" t="n">
        <f aca="false">$C$3+(E24-1)*7</f>
        <v>46398</v>
      </c>
      <c r="I24" s="19" t="n">
        <f aca="false">H24</f>
        <v>46398</v>
      </c>
      <c r="J24" s="20" t="str">
        <f aca="false">IF(J$5=$E24,"◆","")</f>
        <v/>
      </c>
      <c r="K24" s="20" t="str">
        <f aca="false">IF(K$5=$E24,"◆","")</f>
        <v/>
      </c>
      <c r="L24" s="20" t="str">
        <f aca="false">IF(L$5=$E24,"◆","")</f>
        <v/>
      </c>
      <c r="M24" s="20" t="str">
        <f aca="false">IF(M$5=$E24,"◆","")</f>
        <v/>
      </c>
      <c r="N24" s="20" t="str">
        <f aca="false">IF(N$5=$E24,"◆","")</f>
        <v/>
      </c>
      <c r="O24" s="20" t="str">
        <f aca="false">IF(O$5=$E24,"◆","")</f>
        <v/>
      </c>
      <c r="P24" s="20" t="str">
        <f aca="false">IF(P$5=$E24,"◆","")</f>
        <v/>
      </c>
      <c r="Q24" s="20" t="str">
        <f aca="false">IF(Q$5=$E24,"◆","")</f>
        <v/>
      </c>
      <c r="R24" s="20" t="str">
        <f aca="false">IF(R$5=$E24,"◆","")</f>
        <v/>
      </c>
      <c r="S24" s="20" t="str">
        <f aca="false">IF(S$5=$E24,"◆","")</f>
        <v/>
      </c>
      <c r="T24" s="20" t="str">
        <f aca="false">IF(T$5=$E24,"◆","")</f>
        <v/>
      </c>
      <c r="U24" s="20" t="str">
        <f aca="false">IF(U$5=$E24,"◆","")</f>
        <v/>
      </c>
      <c r="V24" s="20" t="str">
        <f aca="false">IF(V$5=$E24,"◆","")</f>
        <v/>
      </c>
      <c r="W24" s="20" t="str">
        <f aca="false">IF(W$5=$E24,"◆","")</f>
        <v/>
      </c>
      <c r="X24" s="20" t="str">
        <f aca="false">IF(X$5=$E24,"◆","")</f>
        <v/>
      </c>
      <c r="Y24" s="20" t="str">
        <f aca="false">IF(Y$5=$E24,"◆","")</f>
        <v/>
      </c>
      <c r="Z24" s="20" t="str">
        <f aca="false">IF(Z$5=$E24,"◆","")</f>
        <v/>
      </c>
      <c r="AA24" s="20" t="str">
        <f aca="false">IF(AA$5=$E24,"◆","")</f>
        <v/>
      </c>
      <c r="AB24" s="20" t="str">
        <f aca="false">IF(AB$5=$E24,"◆","")</f>
        <v/>
      </c>
      <c r="AC24" s="20" t="str">
        <f aca="false">IF(AC$5=$E24,"◆","")</f>
        <v/>
      </c>
      <c r="AD24" s="20" t="str">
        <f aca="false">IF(AD$5=$E24,"◆","")</f>
        <v/>
      </c>
      <c r="AE24" s="20" t="str">
        <f aca="false">IF(AE$5=$E24,"◆","")</f>
        <v/>
      </c>
      <c r="AF24" s="20" t="str">
        <f aca="false">IF(AF$5=$E24,"◆","")</f>
        <v/>
      </c>
      <c r="AG24" s="20" t="str">
        <f aca="false">IF(AG$5=$E24,"◆","")</f>
        <v/>
      </c>
      <c r="AH24" s="20" t="str">
        <f aca="false">IF(AH$5=$E24,"◆","")</f>
        <v/>
      </c>
      <c r="AI24" s="20" t="str">
        <f aca="false">IF(AI$5=$E24,"◆","")</f>
        <v/>
      </c>
      <c r="AJ24" s="20" t="str">
        <f aca="false">IF(AJ$5=$E24,"◆","")</f>
        <v/>
      </c>
      <c r="AK24" s="20" t="str">
        <f aca="false">IF(AK$5=$E24,"◆","")</f>
        <v/>
      </c>
      <c r="AL24" s="20" t="str">
        <f aca="false">IF(AL$5=$E24,"◆","")</f>
        <v/>
      </c>
      <c r="AM24" s="20" t="str">
        <f aca="false">IF(AM$5=$E24,"◆","")</f>
        <v/>
      </c>
      <c r="AN24" s="20" t="str">
        <f aca="false">IF(AN$5=$E24,"◆","")</f>
        <v/>
      </c>
      <c r="AO24" s="20" t="str">
        <f aca="false">IF(AO$5=$E24,"◆","")</f>
        <v/>
      </c>
      <c r="AP24" s="20" t="str">
        <f aca="false">IF(AP$5=$E24,"◆","")</f>
        <v/>
      </c>
      <c r="AQ24" s="20" t="str">
        <f aca="false">IF(AQ$5=$E24,"◆","")</f>
        <v/>
      </c>
      <c r="AR24" s="20" t="str">
        <f aca="false">IF(AR$5=$E24,"◆","")</f>
        <v/>
      </c>
      <c r="AS24" s="20" t="str">
        <f aca="false">IF(AS$5=$E24,"◆","")</f>
        <v>◆</v>
      </c>
      <c r="AT24" s="20" t="str">
        <f aca="false">IF(AT$5=$E24,"◆","")</f>
        <v/>
      </c>
      <c r="AU24" s="20" t="str">
        <f aca="false">IF(AU$5=$E24,"◆","")</f>
        <v/>
      </c>
      <c r="AV24" s="20" t="str">
        <f aca="false">IF(AV$5=$E24,"◆","")</f>
        <v/>
      </c>
      <c r="AW24" s="20" t="str">
        <f aca="false">IF(AW$5=$E24,"◆","")</f>
        <v/>
      </c>
      <c r="AX24" s="20" t="str">
        <f aca="false">IF(AX$5=$E24,"◆","")</f>
        <v/>
      </c>
      <c r="AY24" s="20" t="str">
        <f aca="false">IF(AY$5=$E24,"◆","")</f>
        <v/>
      </c>
      <c r="AZ24" s="20" t="str">
        <f aca="false">IF(AZ$5=$E24,"◆","")</f>
        <v/>
      </c>
      <c r="BA24" s="20" t="str">
        <f aca="false">IF(BA$5=$E24,"◆","")</f>
        <v/>
      </c>
      <c r="BB24" s="20" t="str">
        <f aca="false">IF(BB$5=$E24,"◆","")</f>
        <v/>
      </c>
      <c r="BC24" s="20" t="str">
        <f aca="false">IF(BC$5=$E24,"◆","")</f>
        <v/>
      </c>
      <c r="BD24" s="20" t="str">
        <f aca="false">IF(BD$5=$E24,"◆","")</f>
        <v/>
      </c>
      <c r="BE24" s="20" t="str">
        <f aca="false">IF(BE$5=$E24,"◆","")</f>
        <v/>
      </c>
      <c r="BF24" s="20" t="str">
        <f aca="false">IF(BF$5=$E24,"◆","")</f>
        <v/>
      </c>
      <c r="BG24" s="20" t="str">
        <f aca="false">IF(BG$5=$E24,"◆","")</f>
        <v/>
      </c>
      <c r="BH24" s="20" t="str">
        <f aca="false">IF(BH$5=$E24,"◆","")</f>
        <v/>
      </c>
      <c r="BI24" s="20" t="str">
        <f aca="false">IF(BI$5=$E24,"◆","")</f>
        <v/>
      </c>
    </row>
    <row r="25" customFormat="false" ht="15" hidden="false" customHeight="false" outlineLevel="0" collapsed="false">
      <c r="A25" s="4" t="s">
        <v>102</v>
      </c>
      <c r="B25" s="4" t="s">
        <v>90</v>
      </c>
      <c r="C25" s="3" t="s">
        <v>103</v>
      </c>
      <c r="D25" s="4"/>
      <c r="E25" s="18" t="n">
        <v>46</v>
      </c>
      <c r="F25" s="18" t="n">
        <v>0</v>
      </c>
      <c r="G25" s="4" t="n">
        <f aca="false">E25</f>
        <v>46</v>
      </c>
      <c r="H25" s="19" t="n">
        <f aca="false">$C$3+(E25-1)*7</f>
        <v>46468</v>
      </c>
      <c r="I25" s="19" t="n">
        <f aca="false">H25</f>
        <v>46468</v>
      </c>
      <c r="J25" s="20" t="str">
        <f aca="false">IF(J$5=$E25,"◆","")</f>
        <v/>
      </c>
      <c r="K25" s="20" t="str">
        <f aca="false">IF(K$5=$E25,"◆","")</f>
        <v/>
      </c>
      <c r="L25" s="20" t="str">
        <f aca="false">IF(L$5=$E25,"◆","")</f>
        <v/>
      </c>
      <c r="M25" s="20" t="str">
        <f aca="false">IF(M$5=$E25,"◆","")</f>
        <v/>
      </c>
      <c r="N25" s="20" t="str">
        <f aca="false">IF(N$5=$E25,"◆","")</f>
        <v/>
      </c>
      <c r="O25" s="20" t="str">
        <f aca="false">IF(O$5=$E25,"◆","")</f>
        <v/>
      </c>
      <c r="P25" s="20" t="str">
        <f aca="false">IF(P$5=$E25,"◆","")</f>
        <v/>
      </c>
      <c r="Q25" s="20" t="str">
        <f aca="false">IF(Q$5=$E25,"◆","")</f>
        <v/>
      </c>
      <c r="R25" s="20" t="str">
        <f aca="false">IF(R$5=$E25,"◆","")</f>
        <v/>
      </c>
      <c r="S25" s="20" t="str">
        <f aca="false">IF(S$5=$E25,"◆","")</f>
        <v/>
      </c>
      <c r="T25" s="20" t="str">
        <f aca="false">IF(T$5=$E25,"◆","")</f>
        <v/>
      </c>
      <c r="U25" s="20" t="str">
        <f aca="false">IF(U$5=$E25,"◆","")</f>
        <v/>
      </c>
      <c r="V25" s="20" t="str">
        <f aca="false">IF(V$5=$E25,"◆","")</f>
        <v/>
      </c>
      <c r="W25" s="20" t="str">
        <f aca="false">IF(W$5=$E25,"◆","")</f>
        <v/>
      </c>
      <c r="X25" s="20" t="str">
        <f aca="false">IF(X$5=$E25,"◆","")</f>
        <v/>
      </c>
      <c r="Y25" s="20" t="str">
        <f aca="false">IF(Y$5=$E25,"◆","")</f>
        <v/>
      </c>
      <c r="Z25" s="20" t="str">
        <f aca="false">IF(Z$5=$E25,"◆","")</f>
        <v/>
      </c>
      <c r="AA25" s="20" t="str">
        <f aca="false">IF(AA$5=$E25,"◆","")</f>
        <v/>
      </c>
      <c r="AB25" s="20" t="str">
        <f aca="false">IF(AB$5=$E25,"◆","")</f>
        <v/>
      </c>
      <c r="AC25" s="20" t="str">
        <f aca="false">IF(AC$5=$E25,"◆","")</f>
        <v/>
      </c>
      <c r="AD25" s="20" t="str">
        <f aca="false">IF(AD$5=$E25,"◆","")</f>
        <v/>
      </c>
      <c r="AE25" s="20" t="str">
        <f aca="false">IF(AE$5=$E25,"◆","")</f>
        <v/>
      </c>
      <c r="AF25" s="20" t="str">
        <f aca="false">IF(AF$5=$E25,"◆","")</f>
        <v/>
      </c>
      <c r="AG25" s="20" t="str">
        <f aca="false">IF(AG$5=$E25,"◆","")</f>
        <v/>
      </c>
      <c r="AH25" s="20" t="str">
        <f aca="false">IF(AH$5=$E25,"◆","")</f>
        <v/>
      </c>
      <c r="AI25" s="20" t="str">
        <f aca="false">IF(AI$5=$E25,"◆","")</f>
        <v/>
      </c>
      <c r="AJ25" s="20" t="str">
        <f aca="false">IF(AJ$5=$E25,"◆","")</f>
        <v/>
      </c>
      <c r="AK25" s="20" t="str">
        <f aca="false">IF(AK$5=$E25,"◆","")</f>
        <v/>
      </c>
      <c r="AL25" s="20" t="str">
        <f aca="false">IF(AL$5=$E25,"◆","")</f>
        <v/>
      </c>
      <c r="AM25" s="20" t="str">
        <f aca="false">IF(AM$5=$E25,"◆","")</f>
        <v/>
      </c>
      <c r="AN25" s="20" t="str">
        <f aca="false">IF(AN$5=$E25,"◆","")</f>
        <v/>
      </c>
      <c r="AO25" s="20" t="str">
        <f aca="false">IF(AO$5=$E25,"◆","")</f>
        <v/>
      </c>
      <c r="AP25" s="20" t="str">
        <f aca="false">IF(AP$5=$E25,"◆","")</f>
        <v/>
      </c>
      <c r="AQ25" s="20" t="str">
        <f aca="false">IF(AQ$5=$E25,"◆","")</f>
        <v/>
      </c>
      <c r="AR25" s="20" t="str">
        <f aca="false">IF(AR$5=$E25,"◆","")</f>
        <v/>
      </c>
      <c r="AS25" s="20" t="str">
        <f aca="false">IF(AS$5=$E25,"◆","")</f>
        <v/>
      </c>
      <c r="AT25" s="20" t="str">
        <f aca="false">IF(AT$5=$E25,"◆","")</f>
        <v/>
      </c>
      <c r="AU25" s="20" t="str">
        <f aca="false">IF(AU$5=$E25,"◆","")</f>
        <v/>
      </c>
      <c r="AV25" s="20" t="str">
        <f aca="false">IF(AV$5=$E25,"◆","")</f>
        <v/>
      </c>
      <c r="AW25" s="20" t="str">
        <f aca="false">IF(AW$5=$E25,"◆","")</f>
        <v/>
      </c>
      <c r="AX25" s="20" t="str">
        <f aca="false">IF(AX$5=$E25,"◆","")</f>
        <v/>
      </c>
      <c r="AY25" s="20" t="str">
        <f aca="false">IF(AY$5=$E25,"◆","")</f>
        <v/>
      </c>
      <c r="AZ25" s="20" t="str">
        <f aca="false">IF(AZ$5=$E25,"◆","")</f>
        <v/>
      </c>
      <c r="BA25" s="20" t="str">
        <f aca="false">IF(BA$5=$E25,"◆","")</f>
        <v/>
      </c>
      <c r="BB25" s="20" t="str">
        <f aca="false">IF(BB$5=$E25,"◆","")</f>
        <v/>
      </c>
      <c r="BC25" s="20" t="str">
        <f aca="false">IF(BC$5=$E25,"◆","")</f>
        <v>◆</v>
      </c>
      <c r="BD25" s="20" t="str">
        <f aca="false">IF(BD$5=$E25,"◆","")</f>
        <v/>
      </c>
      <c r="BE25" s="20" t="str">
        <f aca="false">IF(BE$5=$E25,"◆","")</f>
        <v/>
      </c>
      <c r="BF25" s="20" t="str">
        <f aca="false">IF(BF$5=$E25,"◆","")</f>
        <v/>
      </c>
      <c r="BG25" s="20" t="str">
        <f aca="false">IF(BG$5=$E25,"◆","")</f>
        <v/>
      </c>
      <c r="BH25" s="20" t="str">
        <f aca="false">IF(BH$5=$E25,"◆","")</f>
        <v/>
      </c>
      <c r="BI25" s="20" t="str">
        <f aca="false">IF(BI$5=$E25,"◆","")</f>
        <v/>
      </c>
    </row>
    <row r="26" customFormat="false" ht="15" hidden="false" customHeight="false" outlineLevel="0" collapsed="false">
      <c r="A26" s="4" t="s">
        <v>104</v>
      </c>
      <c r="B26" s="4" t="s">
        <v>90</v>
      </c>
      <c r="C26" s="3" t="s">
        <v>105</v>
      </c>
      <c r="D26" s="4"/>
      <c r="E26" s="18" t="n">
        <v>49</v>
      </c>
      <c r="F26" s="18" t="n">
        <v>0</v>
      </c>
      <c r="G26" s="4" t="n">
        <f aca="false">E26</f>
        <v>49</v>
      </c>
      <c r="H26" s="19" t="n">
        <f aca="false">$C$3+(E26-1)*7</f>
        <v>46489</v>
      </c>
      <c r="I26" s="19" t="n">
        <f aca="false">H26</f>
        <v>46489</v>
      </c>
      <c r="J26" s="20" t="str">
        <f aca="false">IF(J$5=$E26,"◆","")</f>
        <v/>
      </c>
      <c r="K26" s="20" t="str">
        <f aca="false">IF(K$5=$E26,"◆","")</f>
        <v/>
      </c>
      <c r="L26" s="20" t="str">
        <f aca="false">IF(L$5=$E26,"◆","")</f>
        <v/>
      </c>
      <c r="M26" s="20" t="str">
        <f aca="false">IF(M$5=$E26,"◆","")</f>
        <v/>
      </c>
      <c r="N26" s="20" t="str">
        <f aca="false">IF(N$5=$E26,"◆","")</f>
        <v/>
      </c>
      <c r="O26" s="20" t="str">
        <f aca="false">IF(O$5=$E26,"◆","")</f>
        <v/>
      </c>
      <c r="P26" s="20" t="str">
        <f aca="false">IF(P$5=$E26,"◆","")</f>
        <v/>
      </c>
      <c r="Q26" s="20" t="str">
        <f aca="false">IF(Q$5=$E26,"◆","")</f>
        <v/>
      </c>
      <c r="R26" s="20" t="str">
        <f aca="false">IF(R$5=$E26,"◆","")</f>
        <v/>
      </c>
      <c r="S26" s="20" t="str">
        <f aca="false">IF(S$5=$E26,"◆","")</f>
        <v/>
      </c>
      <c r="T26" s="20" t="str">
        <f aca="false">IF(T$5=$E26,"◆","")</f>
        <v/>
      </c>
      <c r="U26" s="20" t="str">
        <f aca="false">IF(U$5=$E26,"◆","")</f>
        <v/>
      </c>
      <c r="V26" s="20" t="str">
        <f aca="false">IF(V$5=$E26,"◆","")</f>
        <v/>
      </c>
      <c r="W26" s="20" t="str">
        <f aca="false">IF(W$5=$E26,"◆","")</f>
        <v/>
      </c>
      <c r="X26" s="20" t="str">
        <f aca="false">IF(X$5=$E26,"◆","")</f>
        <v/>
      </c>
      <c r="Y26" s="20" t="str">
        <f aca="false">IF(Y$5=$E26,"◆","")</f>
        <v/>
      </c>
      <c r="Z26" s="20" t="str">
        <f aca="false">IF(Z$5=$E26,"◆","")</f>
        <v/>
      </c>
      <c r="AA26" s="20" t="str">
        <f aca="false">IF(AA$5=$E26,"◆","")</f>
        <v/>
      </c>
      <c r="AB26" s="20" t="str">
        <f aca="false">IF(AB$5=$E26,"◆","")</f>
        <v/>
      </c>
      <c r="AC26" s="20" t="str">
        <f aca="false">IF(AC$5=$E26,"◆","")</f>
        <v/>
      </c>
      <c r="AD26" s="20" t="str">
        <f aca="false">IF(AD$5=$E26,"◆","")</f>
        <v/>
      </c>
      <c r="AE26" s="20" t="str">
        <f aca="false">IF(AE$5=$E26,"◆","")</f>
        <v/>
      </c>
      <c r="AF26" s="20" t="str">
        <f aca="false">IF(AF$5=$E26,"◆","")</f>
        <v/>
      </c>
      <c r="AG26" s="20" t="str">
        <f aca="false">IF(AG$5=$E26,"◆","")</f>
        <v/>
      </c>
      <c r="AH26" s="20" t="str">
        <f aca="false">IF(AH$5=$E26,"◆","")</f>
        <v/>
      </c>
      <c r="AI26" s="20" t="str">
        <f aca="false">IF(AI$5=$E26,"◆","")</f>
        <v/>
      </c>
      <c r="AJ26" s="20" t="str">
        <f aca="false">IF(AJ$5=$E26,"◆","")</f>
        <v/>
      </c>
      <c r="AK26" s="20" t="str">
        <f aca="false">IF(AK$5=$E26,"◆","")</f>
        <v/>
      </c>
      <c r="AL26" s="20" t="str">
        <f aca="false">IF(AL$5=$E26,"◆","")</f>
        <v/>
      </c>
      <c r="AM26" s="20" t="str">
        <f aca="false">IF(AM$5=$E26,"◆","")</f>
        <v/>
      </c>
      <c r="AN26" s="20" t="str">
        <f aca="false">IF(AN$5=$E26,"◆","")</f>
        <v/>
      </c>
      <c r="AO26" s="20" t="str">
        <f aca="false">IF(AO$5=$E26,"◆","")</f>
        <v/>
      </c>
      <c r="AP26" s="20" t="str">
        <f aca="false">IF(AP$5=$E26,"◆","")</f>
        <v/>
      </c>
      <c r="AQ26" s="20" t="str">
        <f aca="false">IF(AQ$5=$E26,"◆","")</f>
        <v/>
      </c>
      <c r="AR26" s="20" t="str">
        <f aca="false">IF(AR$5=$E26,"◆","")</f>
        <v/>
      </c>
      <c r="AS26" s="20" t="str">
        <f aca="false">IF(AS$5=$E26,"◆","")</f>
        <v/>
      </c>
      <c r="AT26" s="20" t="str">
        <f aca="false">IF(AT$5=$E26,"◆","")</f>
        <v/>
      </c>
      <c r="AU26" s="20" t="str">
        <f aca="false">IF(AU$5=$E26,"◆","")</f>
        <v/>
      </c>
      <c r="AV26" s="20" t="str">
        <f aca="false">IF(AV$5=$E26,"◆","")</f>
        <v/>
      </c>
      <c r="AW26" s="20" t="str">
        <f aca="false">IF(AW$5=$E26,"◆","")</f>
        <v/>
      </c>
      <c r="AX26" s="20" t="str">
        <f aca="false">IF(AX$5=$E26,"◆","")</f>
        <v/>
      </c>
      <c r="AY26" s="20" t="str">
        <f aca="false">IF(AY$5=$E26,"◆","")</f>
        <v/>
      </c>
      <c r="AZ26" s="20" t="str">
        <f aca="false">IF(AZ$5=$E26,"◆","")</f>
        <v/>
      </c>
      <c r="BA26" s="20" t="str">
        <f aca="false">IF(BA$5=$E26,"◆","")</f>
        <v/>
      </c>
      <c r="BB26" s="20" t="str">
        <f aca="false">IF(BB$5=$E26,"◆","")</f>
        <v/>
      </c>
      <c r="BC26" s="20" t="str">
        <f aca="false">IF(BC$5=$E26,"◆","")</f>
        <v/>
      </c>
      <c r="BD26" s="20" t="str">
        <f aca="false">IF(BD$5=$E26,"◆","")</f>
        <v/>
      </c>
      <c r="BE26" s="20" t="str">
        <f aca="false">IF(BE$5=$E26,"◆","")</f>
        <v/>
      </c>
      <c r="BF26" s="20" t="str">
        <f aca="false">IF(BF$5=$E26,"◆","")</f>
        <v>◆</v>
      </c>
      <c r="BG26" s="20" t="str">
        <f aca="false">IF(BG$5=$E26,"◆","")</f>
        <v/>
      </c>
      <c r="BH26" s="20" t="str">
        <f aca="false">IF(BH$5=$E26,"◆","")</f>
        <v/>
      </c>
      <c r="BI26" s="20" t="str">
        <f aca="false">IF(BI$5=$E26,"◆","")</f>
        <v/>
      </c>
    </row>
    <row r="27" customFormat="false" ht="15" hidden="false" customHeight="false" outlineLevel="0" collapsed="false">
      <c r="A27" s="4" t="s">
        <v>106</v>
      </c>
      <c r="B27" s="4" t="s">
        <v>90</v>
      </c>
      <c r="C27" s="3" t="s">
        <v>107</v>
      </c>
      <c r="D27" s="4"/>
      <c r="E27" s="18" t="n">
        <v>51</v>
      </c>
      <c r="F27" s="18" t="n">
        <v>0</v>
      </c>
      <c r="G27" s="4" t="n">
        <f aca="false">E27</f>
        <v>51</v>
      </c>
      <c r="H27" s="19" t="n">
        <f aca="false">$C$3+(E27-1)*7</f>
        <v>46503</v>
      </c>
      <c r="I27" s="19" t="n">
        <f aca="false">H27</f>
        <v>46503</v>
      </c>
      <c r="J27" s="20" t="str">
        <f aca="false">IF(J$5=$E27,"◆","")</f>
        <v/>
      </c>
      <c r="K27" s="20" t="str">
        <f aca="false">IF(K$5=$E27,"◆","")</f>
        <v/>
      </c>
      <c r="L27" s="20" t="str">
        <f aca="false">IF(L$5=$E27,"◆","")</f>
        <v/>
      </c>
      <c r="M27" s="20" t="str">
        <f aca="false">IF(M$5=$E27,"◆","")</f>
        <v/>
      </c>
      <c r="N27" s="20" t="str">
        <f aca="false">IF(N$5=$E27,"◆","")</f>
        <v/>
      </c>
      <c r="O27" s="20" t="str">
        <f aca="false">IF(O$5=$E27,"◆","")</f>
        <v/>
      </c>
      <c r="P27" s="20" t="str">
        <f aca="false">IF(P$5=$E27,"◆","")</f>
        <v/>
      </c>
      <c r="Q27" s="20" t="str">
        <f aca="false">IF(Q$5=$E27,"◆","")</f>
        <v/>
      </c>
      <c r="R27" s="20" t="str">
        <f aca="false">IF(R$5=$E27,"◆","")</f>
        <v/>
      </c>
      <c r="S27" s="20" t="str">
        <f aca="false">IF(S$5=$E27,"◆","")</f>
        <v/>
      </c>
      <c r="T27" s="20" t="str">
        <f aca="false">IF(T$5=$E27,"◆","")</f>
        <v/>
      </c>
      <c r="U27" s="20" t="str">
        <f aca="false">IF(U$5=$E27,"◆","")</f>
        <v/>
      </c>
      <c r="V27" s="20" t="str">
        <f aca="false">IF(V$5=$E27,"◆","")</f>
        <v/>
      </c>
      <c r="W27" s="20" t="str">
        <f aca="false">IF(W$5=$E27,"◆","")</f>
        <v/>
      </c>
      <c r="X27" s="20" t="str">
        <f aca="false">IF(X$5=$E27,"◆","")</f>
        <v/>
      </c>
      <c r="Y27" s="20" t="str">
        <f aca="false">IF(Y$5=$E27,"◆","")</f>
        <v/>
      </c>
      <c r="Z27" s="20" t="str">
        <f aca="false">IF(Z$5=$E27,"◆","")</f>
        <v/>
      </c>
      <c r="AA27" s="20" t="str">
        <f aca="false">IF(AA$5=$E27,"◆","")</f>
        <v/>
      </c>
      <c r="AB27" s="20" t="str">
        <f aca="false">IF(AB$5=$E27,"◆","")</f>
        <v/>
      </c>
      <c r="AC27" s="20" t="str">
        <f aca="false">IF(AC$5=$E27,"◆","")</f>
        <v/>
      </c>
      <c r="AD27" s="20" t="str">
        <f aca="false">IF(AD$5=$E27,"◆","")</f>
        <v/>
      </c>
      <c r="AE27" s="20" t="str">
        <f aca="false">IF(AE$5=$E27,"◆","")</f>
        <v/>
      </c>
      <c r="AF27" s="20" t="str">
        <f aca="false">IF(AF$5=$E27,"◆","")</f>
        <v/>
      </c>
      <c r="AG27" s="20" t="str">
        <f aca="false">IF(AG$5=$E27,"◆","")</f>
        <v/>
      </c>
      <c r="AH27" s="20" t="str">
        <f aca="false">IF(AH$5=$E27,"◆","")</f>
        <v/>
      </c>
      <c r="AI27" s="20" t="str">
        <f aca="false">IF(AI$5=$E27,"◆","")</f>
        <v/>
      </c>
      <c r="AJ27" s="20" t="str">
        <f aca="false">IF(AJ$5=$E27,"◆","")</f>
        <v/>
      </c>
      <c r="AK27" s="20" t="str">
        <f aca="false">IF(AK$5=$E27,"◆","")</f>
        <v/>
      </c>
      <c r="AL27" s="20" t="str">
        <f aca="false">IF(AL$5=$E27,"◆","")</f>
        <v/>
      </c>
      <c r="AM27" s="20" t="str">
        <f aca="false">IF(AM$5=$E27,"◆","")</f>
        <v/>
      </c>
      <c r="AN27" s="20" t="str">
        <f aca="false">IF(AN$5=$E27,"◆","")</f>
        <v/>
      </c>
      <c r="AO27" s="20" t="str">
        <f aca="false">IF(AO$5=$E27,"◆","")</f>
        <v/>
      </c>
      <c r="AP27" s="20" t="str">
        <f aca="false">IF(AP$5=$E27,"◆","")</f>
        <v/>
      </c>
      <c r="AQ27" s="20" t="str">
        <f aca="false">IF(AQ$5=$E27,"◆","")</f>
        <v/>
      </c>
      <c r="AR27" s="20" t="str">
        <f aca="false">IF(AR$5=$E27,"◆","")</f>
        <v/>
      </c>
      <c r="AS27" s="20" t="str">
        <f aca="false">IF(AS$5=$E27,"◆","")</f>
        <v/>
      </c>
      <c r="AT27" s="20" t="str">
        <f aca="false">IF(AT$5=$E27,"◆","")</f>
        <v/>
      </c>
      <c r="AU27" s="20" t="str">
        <f aca="false">IF(AU$5=$E27,"◆","")</f>
        <v/>
      </c>
      <c r="AV27" s="20" t="str">
        <f aca="false">IF(AV$5=$E27,"◆","")</f>
        <v/>
      </c>
      <c r="AW27" s="20" t="str">
        <f aca="false">IF(AW$5=$E27,"◆","")</f>
        <v/>
      </c>
      <c r="AX27" s="20" t="str">
        <f aca="false">IF(AX$5=$E27,"◆","")</f>
        <v/>
      </c>
      <c r="AY27" s="20" t="str">
        <f aca="false">IF(AY$5=$E27,"◆","")</f>
        <v/>
      </c>
      <c r="AZ27" s="20" t="str">
        <f aca="false">IF(AZ$5=$E27,"◆","")</f>
        <v/>
      </c>
      <c r="BA27" s="20" t="str">
        <f aca="false">IF(BA$5=$E27,"◆","")</f>
        <v/>
      </c>
      <c r="BB27" s="20" t="str">
        <f aca="false">IF(BB$5=$E27,"◆","")</f>
        <v/>
      </c>
      <c r="BC27" s="20" t="str">
        <f aca="false">IF(BC$5=$E27,"◆","")</f>
        <v/>
      </c>
      <c r="BD27" s="20" t="str">
        <f aca="false">IF(BD$5=$E27,"◆","")</f>
        <v/>
      </c>
      <c r="BE27" s="20" t="str">
        <f aca="false">IF(BE$5=$E27,"◆","")</f>
        <v/>
      </c>
      <c r="BF27" s="20" t="str">
        <f aca="false">IF(BF$5=$E27,"◆","")</f>
        <v/>
      </c>
      <c r="BG27" s="20" t="str">
        <f aca="false">IF(BG$5=$E27,"◆","")</f>
        <v/>
      </c>
      <c r="BH27" s="20" t="str">
        <f aca="false">IF(BH$5=$E27,"◆","")</f>
        <v>◆</v>
      </c>
      <c r="BI27" s="20" t="str">
        <f aca="false">IF(BI$5=$E27,"◆","")</f>
        <v/>
      </c>
    </row>
  </sheetData>
  <conditionalFormatting sqref="J6:BI27">
    <cfRule type="cellIs" priority="2" operator="equal" aboveAverage="0" equalAverage="0" bottom="0" percent="0" rank="0" text="" dxfId="0">
      <formula>1</formula>
    </cfRule>
    <cfRule type="expression" priority="3" aboveAverage="0" equalAverage="0" bottom="0" percent="0" rank="0" text="" dxfId="1">
      <formula>J6="◆"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109</v>
      </c>
      <c r="B4" s="7" t="s">
        <v>110</v>
      </c>
      <c r="C4" s="7" t="s">
        <v>111</v>
      </c>
      <c r="D4" s="7" t="s">
        <v>112</v>
      </c>
      <c r="E4" s="7" t="s">
        <v>113</v>
      </c>
      <c r="F4" s="7" t="s">
        <v>114</v>
      </c>
    </row>
    <row r="5" customFormat="false" ht="26.85" hidden="false" customHeight="false" outlineLevel="0" collapsed="false">
      <c r="A5" s="21" t="s">
        <v>115</v>
      </c>
      <c r="B5" s="21" t="s">
        <v>116</v>
      </c>
      <c r="C5" s="21" t="s">
        <v>117</v>
      </c>
      <c r="D5" s="21" t="s">
        <v>118</v>
      </c>
      <c r="E5" s="21" t="s">
        <v>118</v>
      </c>
      <c r="F5" s="21" t="s">
        <v>119</v>
      </c>
    </row>
    <row r="6" customFormat="false" ht="26.85" hidden="false" customHeight="false" outlineLevel="0" collapsed="false">
      <c r="A6" s="21" t="s">
        <v>120</v>
      </c>
      <c r="B6" s="21" t="s">
        <v>121</v>
      </c>
      <c r="C6" s="21" t="s">
        <v>122</v>
      </c>
      <c r="D6" s="21" t="s">
        <v>118</v>
      </c>
      <c r="E6" s="21" t="s">
        <v>118</v>
      </c>
      <c r="F6" s="21" t="s">
        <v>123</v>
      </c>
    </row>
    <row r="7" customFormat="false" ht="26.85" hidden="false" customHeight="false" outlineLevel="0" collapsed="false">
      <c r="A7" s="21" t="s">
        <v>124</v>
      </c>
      <c r="B7" s="21" t="s">
        <v>125</v>
      </c>
      <c r="C7" s="21" t="s">
        <v>126</v>
      </c>
      <c r="D7" s="21" t="s">
        <v>118</v>
      </c>
      <c r="E7" s="21" t="s">
        <v>118</v>
      </c>
      <c r="F7" s="21" t="s">
        <v>127</v>
      </c>
    </row>
    <row r="8" customFormat="false" ht="26.85" hidden="false" customHeight="false" outlineLevel="0" collapsed="false">
      <c r="A8" s="21" t="s">
        <v>128</v>
      </c>
      <c r="B8" s="21" t="s">
        <v>129</v>
      </c>
      <c r="C8" s="21" t="s">
        <v>130</v>
      </c>
      <c r="D8" s="21" t="s">
        <v>131</v>
      </c>
      <c r="E8" s="21" t="s">
        <v>131</v>
      </c>
      <c r="F8" s="21" t="s">
        <v>132</v>
      </c>
    </row>
    <row r="9" customFormat="false" ht="26.85" hidden="false" customHeight="false" outlineLevel="0" collapsed="false">
      <c r="A9" s="21" t="s">
        <v>133</v>
      </c>
      <c r="B9" s="21" t="s">
        <v>134</v>
      </c>
      <c r="C9" s="21" t="s">
        <v>135</v>
      </c>
      <c r="D9" s="21" t="s">
        <v>118</v>
      </c>
      <c r="E9" s="21" t="s">
        <v>118</v>
      </c>
      <c r="F9" s="21" t="s">
        <v>136</v>
      </c>
    </row>
    <row r="10" customFormat="false" ht="15" hidden="false" customHeight="false" outlineLevel="0" collapsed="false">
      <c r="A10" s="21" t="s">
        <v>137</v>
      </c>
      <c r="B10" s="21" t="s">
        <v>138</v>
      </c>
      <c r="C10" s="21" t="s">
        <v>139</v>
      </c>
      <c r="D10" s="21" t="s">
        <v>131</v>
      </c>
      <c r="E10" s="21" t="s">
        <v>118</v>
      </c>
      <c r="F10" s="21" t="s">
        <v>140</v>
      </c>
    </row>
    <row r="11" customFormat="false" ht="15" hidden="false" customHeight="false" outlineLevel="0" collapsed="false">
      <c r="A11" s="21" t="s">
        <v>141</v>
      </c>
      <c r="B11" s="21" t="s">
        <v>142</v>
      </c>
      <c r="C11" s="21" t="s">
        <v>143</v>
      </c>
      <c r="D11" s="21" t="s">
        <v>118</v>
      </c>
      <c r="E11" s="21" t="s">
        <v>131</v>
      </c>
      <c r="F11" s="21" t="s">
        <v>144</v>
      </c>
    </row>
    <row r="12" customFormat="false" ht="15" hidden="false" customHeight="false" outlineLevel="0" collapsed="false">
      <c r="A12" s="21" t="s">
        <v>145</v>
      </c>
      <c r="B12" s="21" t="s">
        <v>146</v>
      </c>
      <c r="C12" s="21" t="s">
        <v>147</v>
      </c>
      <c r="D12" s="21" t="s">
        <v>118</v>
      </c>
      <c r="E12" s="21" t="s">
        <v>148</v>
      </c>
      <c r="F12" s="21" t="s">
        <v>149</v>
      </c>
    </row>
    <row r="13" customFormat="false" ht="26.85" hidden="false" customHeight="false" outlineLevel="0" collapsed="false">
      <c r="A13" s="21" t="s">
        <v>150</v>
      </c>
      <c r="B13" s="21" t="s">
        <v>151</v>
      </c>
      <c r="C13" s="21" t="s">
        <v>152</v>
      </c>
      <c r="D13" s="21" t="s">
        <v>131</v>
      </c>
      <c r="E13" s="21" t="s">
        <v>131</v>
      </c>
      <c r="F13" s="21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7" t="s">
        <v>155</v>
      </c>
      <c r="B4" s="7" t="s">
        <v>4</v>
      </c>
      <c r="C4" s="7" t="s">
        <v>156</v>
      </c>
      <c r="D4" s="7" t="s">
        <v>81</v>
      </c>
      <c r="E4" s="7" t="s">
        <v>63</v>
      </c>
      <c r="F4" s="7" t="s">
        <v>69</v>
      </c>
      <c r="G4" s="7" t="s">
        <v>59</v>
      </c>
      <c r="H4" s="7" t="s">
        <v>86</v>
      </c>
      <c r="I4" s="7" t="s">
        <v>157</v>
      </c>
    </row>
    <row r="5" customFormat="false" ht="15" hidden="false" customHeight="false" outlineLevel="0" collapsed="false">
      <c r="A5" s="21" t="s">
        <v>158</v>
      </c>
      <c r="B5" s="22" t="s">
        <v>159</v>
      </c>
      <c r="C5" s="22" t="s">
        <v>160</v>
      </c>
      <c r="D5" s="22" t="s">
        <v>161</v>
      </c>
      <c r="E5" s="22" t="s">
        <v>161</v>
      </c>
      <c r="F5" s="22" t="s">
        <v>161</v>
      </c>
      <c r="G5" s="22" t="s">
        <v>160</v>
      </c>
      <c r="H5" s="22" t="s">
        <v>162</v>
      </c>
      <c r="I5" s="4" t="n">
        <f aca="false">COUNTIF(B5:H5,"A")</f>
        <v>1</v>
      </c>
    </row>
    <row r="6" customFormat="false" ht="15" hidden="false" customHeight="false" outlineLevel="0" collapsed="false">
      <c r="A6" s="21" t="s">
        <v>163</v>
      </c>
      <c r="B6" s="22" t="s">
        <v>162</v>
      </c>
      <c r="C6" s="22" t="s">
        <v>159</v>
      </c>
      <c r="D6" s="22" t="s">
        <v>161</v>
      </c>
      <c r="E6" s="22" t="s">
        <v>160</v>
      </c>
      <c r="F6" s="22" t="s">
        <v>161</v>
      </c>
      <c r="G6" s="22" t="s">
        <v>161</v>
      </c>
      <c r="H6" s="22" t="s">
        <v>162</v>
      </c>
      <c r="I6" s="4" t="n">
        <f aca="false">COUNTIF(B6:H6,"A")</f>
        <v>1</v>
      </c>
    </row>
    <row r="7" customFormat="false" ht="15" hidden="false" customHeight="false" outlineLevel="0" collapsed="false">
      <c r="A7" s="21" t="s">
        <v>164</v>
      </c>
      <c r="B7" s="22" t="s">
        <v>159</v>
      </c>
      <c r="C7" s="22" t="s">
        <v>160</v>
      </c>
      <c r="D7" s="22" t="s">
        <v>161</v>
      </c>
      <c r="E7" s="22" t="s">
        <v>160</v>
      </c>
      <c r="F7" s="22" t="s">
        <v>161</v>
      </c>
      <c r="G7" s="22" t="s">
        <v>160</v>
      </c>
      <c r="H7" s="22" t="s">
        <v>162</v>
      </c>
      <c r="I7" s="4" t="n">
        <f aca="false">COUNTIF(B7:H7,"A")</f>
        <v>1</v>
      </c>
    </row>
    <row r="8" customFormat="false" ht="15" hidden="false" customHeight="false" outlineLevel="0" collapsed="false">
      <c r="A8" s="21" t="s">
        <v>165</v>
      </c>
      <c r="B8" s="22" t="s">
        <v>162</v>
      </c>
      <c r="C8" s="22" t="s">
        <v>159</v>
      </c>
      <c r="D8" s="22" t="s">
        <v>160</v>
      </c>
      <c r="E8" s="22" t="s">
        <v>161</v>
      </c>
      <c r="F8" s="22" t="s">
        <v>161</v>
      </c>
      <c r="G8" s="22" t="s">
        <v>160</v>
      </c>
      <c r="H8" s="22" t="s">
        <v>162</v>
      </c>
      <c r="I8" s="4" t="n">
        <f aca="false">COUNTIF(B8:H8,"A")</f>
        <v>1</v>
      </c>
    </row>
    <row r="9" customFormat="false" ht="15" hidden="false" customHeight="false" outlineLevel="0" collapsed="false">
      <c r="A9" s="21" t="s">
        <v>166</v>
      </c>
      <c r="B9" s="22" t="s">
        <v>162</v>
      </c>
      <c r="C9" s="22" t="s">
        <v>159</v>
      </c>
      <c r="D9" s="22" t="s">
        <v>161</v>
      </c>
      <c r="E9" s="22" t="s">
        <v>161</v>
      </c>
      <c r="F9" s="22" t="s">
        <v>162</v>
      </c>
      <c r="G9" s="22" t="s">
        <v>160</v>
      </c>
      <c r="H9" s="22" t="s">
        <v>162</v>
      </c>
      <c r="I9" s="4" t="n">
        <f aca="false">COUNTIF(B9:H9,"A")</f>
        <v>1</v>
      </c>
    </row>
    <row r="10" customFormat="false" ht="15" hidden="false" customHeight="false" outlineLevel="0" collapsed="false">
      <c r="A10" s="21" t="s">
        <v>167</v>
      </c>
      <c r="B10" s="22" t="s">
        <v>162</v>
      </c>
      <c r="C10" s="22" t="s">
        <v>161</v>
      </c>
      <c r="D10" s="22" t="s">
        <v>159</v>
      </c>
      <c r="E10" s="22" t="s">
        <v>162</v>
      </c>
      <c r="F10" s="22" t="s">
        <v>160</v>
      </c>
      <c r="G10" s="22" t="s">
        <v>162</v>
      </c>
      <c r="H10" s="22" t="s">
        <v>162</v>
      </c>
      <c r="I10" s="4" t="n">
        <f aca="false">COUNTIF(B10:H10,"A")</f>
        <v>1</v>
      </c>
    </row>
    <row r="11" customFormat="false" ht="15" hidden="false" customHeight="false" outlineLevel="0" collapsed="false">
      <c r="A11" s="21" t="s">
        <v>168</v>
      </c>
      <c r="B11" s="22" t="s">
        <v>162</v>
      </c>
      <c r="C11" s="22" t="s">
        <v>161</v>
      </c>
      <c r="D11" s="22" t="s">
        <v>159</v>
      </c>
      <c r="E11" s="22" t="s">
        <v>162</v>
      </c>
      <c r="F11" s="22" t="s">
        <v>160</v>
      </c>
      <c r="G11" s="22" t="s">
        <v>162</v>
      </c>
      <c r="H11" s="22" t="s">
        <v>161</v>
      </c>
      <c r="I11" s="4" t="n">
        <f aca="false">COUNTIF(B11:H11,"A")</f>
        <v>1</v>
      </c>
    </row>
    <row r="12" customFormat="false" ht="15" hidden="false" customHeight="false" outlineLevel="0" collapsed="false">
      <c r="A12" s="21" t="s">
        <v>169</v>
      </c>
      <c r="B12" s="22" t="s">
        <v>159</v>
      </c>
      <c r="C12" s="22" t="s">
        <v>160</v>
      </c>
      <c r="D12" s="22" t="s">
        <v>160</v>
      </c>
      <c r="E12" s="22" t="s">
        <v>162</v>
      </c>
      <c r="F12" s="22" t="s">
        <v>160</v>
      </c>
      <c r="G12" s="22" t="s">
        <v>162</v>
      </c>
      <c r="H12" s="22" t="s">
        <v>160</v>
      </c>
      <c r="I12" s="4" t="n">
        <f aca="false">COUNTIF(B12:H12,"A")</f>
        <v>1</v>
      </c>
    </row>
    <row r="14" customFormat="false" ht="15" hidden="false" customHeight="false" outlineLevel="0" collapsed="false">
      <c r="A14" s="23" t="s">
        <v>170</v>
      </c>
    </row>
  </sheetData>
  <conditionalFormatting sqref="B5:H12">
    <cfRule type="cellIs" priority="2" operator="equal" aboveAverage="0" equalAverage="0" bottom="0" percent="0" rank="0" text="" dxfId="6">
      <formula>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46"/>
    <col collapsed="false" customWidth="true" hidden="false" outlineLevel="0" max="9" min="9" style="0" width="16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7" t="s">
        <v>172</v>
      </c>
      <c r="B4" s="7" t="s">
        <v>44</v>
      </c>
      <c r="C4" s="7" t="s">
        <v>173</v>
      </c>
      <c r="D4" s="7" t="s">
        <v>174</v>
      </c>
      <c r="E4" s="7" t="s">
        <v>175</v>
      </c>
      <c r="F4" s="7" t="s">
        <v>176</v>
      </c>
      <c r="G4" s="7" t="s">
        <v>47</v>
      </c>
      <c r="H4" s="7" t="s">
        <v>177</v>
      </c>
      <c r="I4" s="7" t="s">
        <v>178</v>
      </c>
      <c r="J4" s="7" t="s">
        <v>179</v>
      </c>
    </row>
    <row r="5" customFormat="false" ht="26.85" hidden="false" customHeight="false" outlineLevel="0" collapsed="false">
      <c r="A5" s="21" t="s">
        <v>180</v>
      </c>
      <c r="B5" s="21" t="s">
        <v>181</v>
      </c>
      <c r="C5" s="21" t="s">
        <v>182</v>
      </c>
      <c r="D5" s="24" t="n">
        <v>3</v>
      </c>
      <c r="E5" s="24" t="n">
        <v>5</v>
      </c>
      <c r="F5" s="25" t="n">
        <f aca="false">IF(AND(ISNUMBER(D5),ISNUMBER(E5)),D5*E5,"")</f>
        <v>15</v>
      </c>
      <c r="G5" s="21" t="s">
        <v>63</v>
      </c>
      <c r="H5" s="21" t="s">
        <v>183</v>
      </c>
      <c r="I5" s="21" t="s">
        <v>184</v>
      </c>
      <c r="J5" s="21" t="n">
        <v>20</v>
      </c>
    </row>
    <row r="6" customFormat="false" ht="26.85" hidden="false" customHeight="false" outlineLevel="0" collapsed="false">
      <c r="A6" s="21" t="s">
        <v>180</v>
      </c>
      <c r="B6" s="21" t="s">
        <v>185</v>
      </c>
      <c r="C6" s="21" t="s">
        <v>186</v>
      </c>
      <c r="D6" s="24" t="n">
        <v>3</v>
      </c>
      <c r="E6" s="24" t="n">
        <v>3</v>
      </c>
      <c r="F6" s="25" t="n">
        <f aca="false">IF(AND(ISNUMBER(D6),ISNUMBER(E6)),D6*E6,"")</f>
        <v>9</v>
      </c>
      <c r="G6" s="21" t="s">
        <v>56</v>
      </c>
      <c r="H6" s="21" t="s">
        <v>187</v>
      </c>
      <c r="I6" s="21" t="s">
        <v>188</v>
      </c>
      <c r="J6" s="21" t="n">
        <v>10</v>
      </c>
    </row>
    <row r="7" customFormat="false" ht="26.85" hidden="false" customHeight="false" outlineLevel="0" collapsed="false">
      <c r="A7" s="21" t="s">
        <v>180</v>
      </c>
      <c r="B7" s="21" t="s">
        <v>189</v>
      </c>
      <c r="C7" s="21" t="s">
        <v>190</v>
      </c>
      <c r="D7" s="24" t="n">
        <v>4</v>
      </c>
      <c r="E7" s="24" t="n">
        <v>4</v>
      </c>
      <c r="F7" s="25" t="n">
        <f aca="false">IF(AND(ISNUMBER(D7),ISNUMBER(E7)),D7*E7,"")</f>
        <v>16</v>
      </c>
      <c r="G7" s="21" t="s">
        <v>63</v>
      </c>
      <c r="H7" s="21" t="s">
        <v>191</v>
      </c>
      <c r="I7" s="21" t="s">
        <v>192</v>
      </c>
      <c r="J7" s="21" t="n">
        <v>8</v>
      </c>
    </row>
    <row r="8" customFormat="false" ht="26.85" hidden="false" customHeight="false" outlineLevel="0" collapsed="false">
      <c r="A8" s="21" t="s">
        <v>180</v>
      </c>
      <c r="B8" s="21" t="s">
        <v>193</v>
      </c>
      <c r="C8" s="21" t="s">
        <v>194</v>
      </c>
      <c r="D8" s="24" t="n">
        <v>3</v>
      </c>
      <c r="E8" s="24" t="n">
        <v>3</v>
      </c>
      <c r="F8" s="25" t="n">
        <f aca="false">IF(AND(ISNUMBER(D8),ISNUMBER(E8)),D8*E8,"")</f>
        <v>9</v>
      </c>
      <c r="G8" s="21" t="s">
        <v>81</v>
      </c>
      <c r="H8" s="21" t="s">
        <v>195</v>
      </c>
      <c r="I8" s="21" t="s">
        <v>192</v>
      </c>
      <c r="J8" s="21" t="n">
        <v>34</v>
      </c>
    </row>
    <row r="9" customFormat="false" ht="26.85" hidden="false" customHeight="false" outlineLevel="0" collapsed="false">
      <c r="A9" s="21" t="s">
        <v>180</v>
      </c>
      <c r="B9" s="21" t="s">
        <v>196</v>
      </c>
      <c r="C9" s="21" t="s">
        <v>197</v>
      </c>
      <c r="D9" s="24" t="n">
        <v>2</v>
      </c>
      <c r="E9" s="24" t="n">
        <v>4</v>
      </c>
      <c r="F9" s="25" t="n">
        <f aca="false">IF(AND(ISNUMBER(D9),ISNUMBER(E9)),D9*E9,"")</f>
        <v>8</v>
      </c>
      <c r="G9" s="21" t="s">
        <v>63</v>
      </c>
      <c r="H9" s="21" t="s">
        <v>198</v>
      </c>
      <c r="I9" s="21" t="s">
        <v>188</v>
      </c>
      <c r="J9" s="21" t="n">
        <v>6</v>
      </c>
    </row>
    <row r="10" customFormat="false" ht="26.85" hidden="false" customHeight="false" outlineLevel="0" collapsed="false">
      <c r="A10" s="21" t="s">
        <v>199</v>
      </c>
      <c r="B10" s="21" t="s">
        <v>200</v>
      </c>
      <c r="C10" s="21" t="s">
        <v>201</v>
      </c>
      <c r="D10" s="21"/>
      <c r="E10" s="21"/>
      <c r="F10" s="25" t="str">
        <f aca="false">IF(AND(ISNUMBER(D10),ISNUMBER(E10)),D10*E10,"")</f>
        <v/>
      </c>
      <c r="G10" s="21" t="s">
        <v>4</v>
      </c>
      <c r="H10" s="21" t="s">
        <v>202</v>
      </c>
      <c r="I10" s="21" t="s">
        <v>203</v>
      </c>
      <c r="J10" s="21" t="n">
        <v>4</v>
      </c>
    </row>
    <row r="11" customFormat="false" ht="26.85" hidden="false" customHeight="false" outlineLevel="0" collapsed="false">
      <c r="A11" s="21" t="s">
        <v>204</v>
      </c>
      <c r="B11" s="21" t="s">
        <v>205</v>
      </c>
      <c r="C11" s="21" t="s">
        <v>206</v>
      </c>
      <c r="D11" s="24" t="n">
        <v>5</v>
      </c>
      <c r="E11" s="24" t="n">
        <v>4</v>
      </c>
      <c r="F11" s="25" t="n">
        <f aca="false">IF(AND(ISNUMBER(D11),ISNUMBER(E11)),D11*E11,"")</f>
        <v>20</v>
      </c>
      <c r="G11" s="21" t="s">
        <v>63</v>
      </c>
      <c r="H11" s="21" t="s">
        <v>207</v>
      </c>
      <c r="I11" s="21" t="s">
        <v>208</v>
      </c>
      <c r="J11" s="21" t="n">
        <v>8</v>
      </c>
    </row>
    <row r="12" customFormat="false" ht="26.85" hidden="false" customHeight="false" outlineLevel="0" collapsed="false">
      <c r="A12" s="21" t="s">
        <v>204</v>
      </c>
      <c r="B12" s="21" t="s">
        <v>209</v>
      </c>
      <c r="C12" s="21" t="s">
        <v>210</v>
      </c>
      <c r="D12" s="24" t="n">
        <v>5</v>
      </c>
      <c r="E12" s="24" t="n">
        <v>5</v>
      </c>
      <c r="F12" s="25" t="n">
        <f aca="false">IF(AND(ISNUMBER(D12),ISNUMBER(E12)),D12*E12,"")</f>
        <v>25</v>
      </c>
      <c r="G12" s="21" t="s">
        <v>56</v>
      </c>
      <c r="H12" s="21" t="s">
        <v>211</v>
      </c>
      <c r="I12" s="21" t="s">
        <v>208</v>
      </c>
      <c r="J12" s="21" t="n">
        <v>24</v>
      </c>
    </row>
    <row r="13" customFormat="false" ht="26.85" hidden="false" customHeight="false" outlineLevel="0" collapsed="false">
      <c r="A13" s="21" t="s">
        <v>212</v>
      </c>
      <c r="B13" s="21" t="s">
        <v>213</v>
      </c>
      <c r="C13" s="21" t="s">
        <v>214</v>
      </c>
      <c r="D13" s="21"/>
      <c r="E13" s="21"/>
      <c r="F13" s="25" t="str">
        <f aca="false">IF(AND(ISNUMBER(D13),ISNUMBER(E13)),D13*E13,"")</f>
        <v/>
      </c>
      <c r="G13" s="21" t="s">
        <v>81</v>
      </c>
      <c r="H13" s="21" t="s">
        <v>215</v>
      </c>
      <c r="I13" s="21" t="s">
        <v>192</v>
      </c>
      <c r="J13" s="21" t="n">
        <v>36</v>
      </c>
    </row>
    <row r="14" customFormat="false" ht="26.85" hidden="false" customHeight="false" outlineLevel="0" collapsed="false">
      <c r="A14" s="21" t="s">
        <v>212</v>
      </c>
      <c r="B14" s="21" t="s">
        <v>216</v>
      </c>
      <c r="C14" s="21" t="s">
        <v>217</v>
      </c>
      <c r="D14" s="21"/>
      <c r="E14" s="21"/>
      <c r="F14" s="25" t="str">
        <f aca="false">IF(AND(ISNUMBER(D14),ISNUMBER(E14)),D14*E14,"")</f>
        <v/>
      </c>
      <c r="G14" s="21" t="s">
        <v>81</v>
      </c>
      <c r="H14" s="21" t="s">
        <v>218</v>
      </c>
      <c r="I14" s="21" t="s">
        <v>192</v>
      </c>
      <c r="J14" s="21" t="n">
        <v>40</v>
      </c>
    </row>
    <row r="15" customFormat="false" ht="26.85" hidden="false" customHeight="false" outlineLevel="0" collapsed="false">
      <c r="A15" s="21" t="s">
        <v>212</v>
      </c>
      <c r="B15" s="21" t="s">
        <v>219</v>
      </c>
      <c r="C15" s="21" t="s">
        <v>220</v>
      </c>
      <c r="D15" s="21"/>
      <c r="E15" s="21"/>
      <c r="F15" s="25" t="str">
        <f aca="false">IF(AND(ISNUMBER(D15),ISNUMBER(E15)),D15*E15,"")</f>
        <v/>
      </c>
      <c r="G15" s="21" t="s">
        <v>63</v>
      </c>
      <c r="H15" s="21" t="s">
        <v>221</v>
      </c>
      <c r="I15" s="21" t="s">
        <v>192</v>
      </c>
      <c r="J15" s="21" t="n">
        <v>20</v>
      </c>
    </row>
    <row r="17" customFormat="false" ht="15" hidden="false" customHeight="false" outlineLevel="0" collapsed="false">
      <c r="A17" s="3" t="s">
        <v>222</v>
      </c>
      <c r="C17" s="4" t="n">
        <f aca="false">COUNTIFS(A5:A15,"Risk",F5:F15,"&gt;=15",I5:I15,"Open")</f>
        <v>1</v>
      </c>
    </row>
  </sheetData>
  <conditionalFormatting sqref="F5:F15">
    <cfRule type="expression" priority="2" aboveAverage="0" equalAverage="0" bottom="0" percent="0" rank="0" text="" dxfId="11">
      <formula>AND(ISNUMBER(F5),F5&gt;=15)</formula>
    </cfRule>
    <cfRule type="expression" priority="3" aboveAverage="0" equalAverage="0" bottom="0" percent="0" rank="0" text="" dxfId="12">
      <formula>AND(ISNUMBER(F5),F5&gt;=8,F5&lt;15)</formula>
    </cfRule>
    <cfRule type="expression" priority="4" aboveAverage="0" equalAverage="0" bottom="0" percent="0" rank="0" text="" dxfId="13">
      <formula>AND(ISNUMBER(F5),F5&lt;8)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4"/>
    <col collapsed="false" customWidth="true" hidden="false" outlineLevel="0" max="4" min="4" style="0" width="22"/>
    <col collapsed="false" customWidth="true" hidden="false" outlineLevel="0" max="6" min="5" style="0" width="20"/>
  </cols>
  <sheetData>
    <row r="1" customFormat="false" ht="17.3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224</v>
      </c>
      <c r="B4" s="7" t="s">
        <v>225</v>
      </c>
      <c r="C4" s="7" t="s">
        <v>226</v>
      </c>
      <c r="D4" s="7" t="s">
        <v>227</v>
      </c>
      <c r="E4" s="7" t="s">
        <v>47</v>
      </c>
      <c r="F4" s="7" t="s">
        <v>228</v>
      </c>
    </row>
    <row r="5" customFormat="false" ht="26.85" hidden="false" customHeight="false" outlineLevel="0" collapsed="false">
      <c r="A5" s="21" t="s">
        <v>229</v>
      </c>
      <c r="B5" s="21" t="s">
        <v>230</v>
      </c>
      <c r="C5" s="21" t="s">
        <v>231</v>
      </c>
      <c r="D5" s="21" t="s">
        <v>232</v>
      </c>
      <c r="E5" s="21" t="s">
        <v>56</v>
      </c>
      <c r="F5" s="21" t="s">
        <v>4</v>
      </c>
    </row>
    <row r="6" customFormat="false" ht="15" hidden="false" customHeight="false" outlineLevel="0" collapsed="false">
      <c r="A6" s="21" t="s">
        <v>4</v>
      </c>
      <c r="B6" s="21" t="s">
        <v>233</v>
      </c>
      <c r="C6" s="21" t="s">
        <v>234</v>
      </c>
      <c r="D6" s="21" t="s">
        <v>235</v>
      </c>
      <c r="E6" s="21" t="s">
        <v>56</v>
      </c>
      <c r="F6" s="21" t="s">
        <v>236</v>
      </c>
    </row>
    <row r="7" customFormat="false" ht="15" hidden="false" customHeight="false" outlineLevel="0" collapsed="false">
      <c r="A7" s="21" t="s">
        <v>141</v>
      </c>
      <c r="B7" s="21" t="s">
        <v>237</v>
      </c>
      <c r="C7" s="21" t="s">
        <v>238</v>
      </c>
      <c r="D7" s="21" t="s">
        <v>239</v>
      </c>
      <c r="E7" s="21" t="s">
        <v>56</v>
      </c>
      <c r="F7" s="21" t="s">
        <v>4</v>
      </c>
    </row>
    <row r="8" customFormat="false" ht="26.85" hidden="false" customHeight="false" outlineLevel="0" collapsed="false">
      <c r="A8" s="21" t="s">
        <v>240</v>
      </c>
      <c r="B8" s="21" t="s">
        <v>241</v>
      </c>
      <c r="C8" s="21" t="s">
        <v>242</v>
      </c>
      <c r="D8" s="21" t="s">
        <v>235</v>
      </c>
      <c r="E8" s="21" t="s">
        <v>81</v>
      </c>
      <c r="F8" s="21" t="s">
        <v>56</v>
      </c>
    </row>
    <row r="9" customFormat="false" ht="26.85" hidden="false" customHeight="false" outlineLevel="0" collapsed="false">
      <c r="A9" s="21" t="s">
        <v>243</v>
      </c>
      <c r="B9" s="21" t="s">
        <v>244</v>
      </c>
      <c r="C9" s="21" t="s">
        <v>245</v>
      </c>
      <c r="D9" s="21" t="s">
        <v>246</v>
      </c>
      <c r="E9" s="21" t="s">
        <v>63</v>
      </c>
      <c r="F9" s="21" t="s">
        <v>56</v>
      </c>
    </row>
    <row r="10" customFormat="false" ht="26.85" hidden="false" customHeight="false" outlineLevel="0" collapsed="false">
      <c r="A10" s="21" t="s">
        <v>247</v>
      </c>
      <c r="B10" s="21" t="s">
        <v>248</v>
      </c>
      <c r="C10" s="21" t="s">
        <v>249</v>
      </c>
      <c r="D10" s="21" t="s">
        <v>250</v>
      </c>
      <c r="E10" s="21" t="s">
        <v>56</v>
      </c>
      <c r="F10" s="2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7" t="s">
        <v>252</v>
      </c>
      <c r="B4" s="7" t="s">
        <v>253</v>
      </c>
      <c r="C4" s="7" t="s">
        <v>254</v>
      </c>
    </row>
    <row r="5" customFormat="false" ht="15" hidden="false" customHeight="false" outlineLevel="0" collapsed="false">
      <c r="A5" s="21" t="s">
        <v>255</v>
      </c>
      <c r="B5" s="26" t="n">
        <v>240000</v>
      </c>
      <c r="C5" s="21" t="s">
        <v>256</v>
      </c>
    </row>
    <row r="6" customFormat="false" ht="15" hidden="false" customHeight="false" outlineLevel="0" collapsed="false">
      <c r="A6" s="21" t="s">
        <v>257</v>
      </c>
      <c r="B6" s="26" t="n">
        <v>180000</v>
      </c>
      <c r="C6" s="21" t="s">
        <v>258</v>
      </c>
    </row>
    <row r="7" customFormat="false" ht="15" hidden="false" customHeight="false" outlineLevel="0" collapsed="false">
      <c r="A7" s="21" t="s">
        <v>259</v>
      </c>
      <c r="B7" s="26" t="n">
        <v>45000</v>
      </c>
      <c r="C7" s="21"/>
    </row>
    <row r="8" customFormat="false" ht="15" hidden="false" customHeight="false" outlineLevel="0" collapsed="false">
      <c r="A8" s="21" t="s">
        <v>260</v>
      </c>
      <c r="B8" s="26" t="n">
        <v>95000</v>
      </c>
      <c r="C8" s="21" t="s">
        <v>261</v>
      </c>
    </row>
    <row r="9" customFormat="false" ht="15" hidden="false" customHeight="false" outlineLevel="0" collapsed="false">
      <c r="A9" s="21" t="s">
        <v>262</v>
      </c>
      <c r="B9" s="26" t="n">
        <v>90000</v>
      </c>
      <c r="C9" s="21"/>
    </row>
    <row r="10" customFormat="false" ht="15" hidden="false" customHeight="false" outlineLevel="0" collapsed="false">
      <c r="A10" s="3" t="s">
        <v>263</v>
      </c>
      <c r="B10" s="15" t="n">
        <f aca="false">SUM(B5:B9)</f>
        <v>650000</v>
      </c>
    </row>
    <row r="11" customFormat="false" ht="15" hidden="false" customHeight="false" outlineLevel="0" collapsed="false">
      <c r="A11" s="4" t="s">
        <v>264</v>
      </c>
      <c r="B11" s="27" t="n">
        <f aca="false">B9/B10</f>
        <v>0.138461538461538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28"/>
  </cols>
  <sheetData>
    <row r="1" customFormat="false" ht="17.35" hidden="false" customHeight="false" outlineLevel="0" collapsed="false">
      <c r="A1" s="1" t="s">
        <v>265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7" t="s">
        <v>266</v>
      </c>
      <c r="B4" s="7" t="s">
        <v>267</v>
      </c>
      <c r="C4" s="7" t="s">
        <v>268</v>
      </c>
      <c r="D4" s="7" t="s">
        <v>269</v>
      </c>
      <c r="E4" s="7" t="s">
        <v>270</v>
      </c>
      <c r="F4" s="7" t="s">
        <v>271</v>
      </c>
      <c r="G4" s="7" t="s">
        <v>272</v>
      </c>
      <c r="H4" s="7" t="s">
        <v>273</v>
      </c>
      <c r="I4" s="7" t="s">
        <v>274</v>
      </c>
      <c r="J4" s="7" t="s">
        <v>275</v>
      </c>
      <c r="K4" s="7" t="s">
        <v>276</v>
      </c>
      <c r="L4" s="7" t="s">
        <v>178</v>
      </c>
      <c r="M4" s="7" t="s">
        <v>277</v>
      </c>
    </row>
    <row r="5" customFormat="false" ht="15" hidden="false" customHeight="false" outlineLevel="0" collapsed="false">
      <c r="A5" s="21" t="s">
        <v>278</v>
      </c>
      <c r="B5" s="21" t="s">
        <v>279</v>
      </c>
      <c r="C5" s="26" t="n">
        <v>4200000</v>
      </c>
      <c r="D5" s="26" t="n">
        <v>85000</v>
      </c>
      <c r="E5" s="28" t="n">
        <f aca="false">C5+D5</f>
        <v>4285000</v>
      </c>
      <c r="F5" s="29" t="n">
        <v>0.86</v>
      </c>
      <c r="G5" s="28" t="n">
        <f aca="false">C5*F5</f>
        <v>3612000</v>
      </c>
      <c r="H5" s="26" t="n">
        <v>3610000</v>
      </c>
      <c r="I5" s="28" t="n">
        <f aca="false">MAX(0,H5-G5)</f>
        <v>0</v>
      </c>
      <c r="J5" s="21" t="s">
        <v>280</v>
      </c>
      <c r="K5" s="21" t="s">
        <v>281</v>
      </c>
      <c r="L5" s="21" t="s">
        <v>282</v>
      </c>
      <c r="M5" s="21" t="s">
        <v>283</v>
      </c>
    </row>
    <row r="6" customFormat="false" ht="26.85" hidden="false" customHeight="false" outlineLevel="0" collapsed="false">
      <c r="A6" s="21" t="s">
        <v>284</v>
      </c>
      <c r="B6" s="21" t="s">
        <v>285</v>
      </c>
      <c r="C6" s="26" t="n">
        <v>2650000</v>
      </c>
      <c r="D6" s="26" t="n">
        <v>0</v>
      </c>
      <c r="E6" s="28" t="n">
        <f aca="false">C6+D6</f>
        <v>2650000</v>
      </c>
      <c r="F6" s="29" t="n">
        <v>0.3</v>
      </c>
      <c r="G6" s="28" t="n">
        <f aca="false">C6*F6</f>
        <v>795000</v>
      </c>
      <c r="H6" s="26" t="n">
        <v>795000</v>
      </c>
      <c r="I6" s="28" t="n">
        <f aca="false">MAX(0,H6-G6)</f>
        <v>0</v>
      </c>
      <c r="J6" s="21" t="s">
        <v>286</v>
      </c>
      <c r="K6" s="21" t="s">
        <v>287</v>
      </c>
      <c r="L6" s="21" t="s">
        <v>288</v>
      </c>
      <c r="M6" s="21" t="s">
        <v>289</v>
      </c>
    </row>
    <row r="7" customFormat="false" ht="15" hidden="false" customHeight="false" outlineLevel="0" collapsed="false">
      <c r="A7" s="21" t="s">
        <v>290</v>
      </c>
      <c r="B7" s="21" t="s">
        <v>291</v>
      </c>
      <c r="C7" s="26" t="n">
        <v>780000</v>
      </c>
      <c r="D7" s="26" t="n">
        <v>22000</v>
      </c>
      <c r="E7" s="28" t="n">
        <f aca="false">C7+D7</f>
        <v>802000</v>
      </c>
      <c r="F7" s="29" t="n">
        <v>0.92</v>
      </c>
      <c r="G7" s="28" t="n">
        <f aca="false">C7*F7</f>
        <v>717600</v>
      </c>
      <c r="H7" s="26" t="n">
        <v>710000</v>
      </c>
      <c r="I7" s="28" t="n">
        <f aca="false">MAX(0,H7-G7)</f>
        <v>0</v>
      </c>
      <c r="J7" s="21" t="s">
        <v>292</v>
      </c>
      <c r="K7" s="21" t="s">
        <v>293</v>
      </c>
      <c r="L7" s="21" t="s">
        <v>282</v>
      </c>
      <c r="M7" s="21" t="s">
        <v>294</v>
      </c>
    </row>
    <row r="8" customFormat="false" ht="26.85" hidden="false" customHeight="false" outlineLevel="0" collapsed="false">
      <c r="A8" s="21" t="s">
        <v>295</v>
      </c>
      <c r="B8" s="21" t="s">
        <v>296</v>
      </c>
      <c r="C8" s="26" t="n">
        <v>5100000</v>
      </c>
      <c r="D8" s="26" t="n">
        <v>140000</v>
      </c>
      <c r="E8" s="28" t="n">
        <f aca="false">C8+D8</f>
        <v>5240000</v>
      </c>
      <c r="F8" s="29" t="n">
        <v>0.29</v>
      </c>
      <c r="G8" s="28" t="n">
        <f aca="false">C8*F8</f>
        <v>1479000</v>
      </c>
      <c r="H8" s="26" t="n">
        <v>1479000</v>
      </c>
      <c r="I8" s="28" t="n">
        <f aca="false">MAX(0,H8-G8)</f>
        <v>0</v>
      </c>
      <c r="J8" s="21" t="s">
        <v>297</v>
      </c>
      <c r="K8" s="21" t="s">
        <v>281</v>
      </c>
      <c r="L8" s="21" t="s">
        <v>282</v>
      </c>
      <c r="M8" s="21" t="s">
        <v>298</v>
      </c>
    </row>
    <row r="9" customFormat="false" ht="15" hidden="false" customHeight="false" outlineLevel="0" collapsed="false">
      <c r="A9" s="21" t="s">
        <v>299</v>
      </c>
      <c r="B9" s="21" t="s">
        <v>300</v>
      </c>
      <c r="C9" s="26" t="n">
        <v>3900000</v>
      </c>
      <c r="D9" s="26" t="n">
        <v>65000</v>
      </c>
      <c r="E9" s="28" t="n">
        <f aca="false">C9+D9</f>
        <v>3965000</v>
      </c>
      <c r="F9" s="29" t="n">
        <v>0.28</v>
      </c>
      <c r="G9" s="28" t="n">
        <f aca="false">C9*F9</f>
        <v>1092000</v>
      </c>
      <c r="H9" s="26" t="n">
        <v>1092000</v>
      </c>
      <c r="I9" s="28" t="n">
        <f aca="false">MAX(0,H9-G9)</f>
        <v>0</v>
      </c>
      <c r="J9" s="21" t="s">
        <v>297</v>
      </c>
      <c r="K9" s="21" t="s">
        <v>281</v>
      </c>
      <c r="L9" s="21" t="s">
        <v>282</v>
      </c>
      <c r="M9" s="21" t="s">
        <v>298</v>
      </c>
    </row>
    <row r="10" customFormat="false" ht="15" hidden="false" customHeight="false" outlineLevel="0" collapsed="false">
      <c r="A10" s="21" t="s">
        <v>301</v>
      </c>
      <c r="B10" s="21" t="s">
        <v>302</v>
      </c>
      <c r="C10" s="26" t="n">
        <v>620000</v>
      </c>
      <c r="D10" s="26" t="n">
        <v>0</v>
      </c>
      <c r="E10" s="28" t="n">
        <f aca="false">C10+D10</f>
        <v>620000</v>
      </c>
      <c r="F10" s="29" t="n">
        <v>0.15</v>
      </c>
      <c r="G10" s="28" t="n">
        <f aca="false">C10*F10</f>
        <v>93000</v>
      </c>
      <c r="H10" s="26" t="n">
        <v>93000</v>
      </c>
      <c r="I10" s="28" t="n">
        <f aca="false">MAX(0,H10-G10)</f>
        <v>0</v>
      </c>
      <c r="J10" s="21" t="s">
        <v>303</v>
      </c>
      <c r="K10" s="21" t="s">
        <v>303</v>
      </c>
      <c r="L10" s="21" t="s">
        <v>282</v>
      </c>
      <c r="M10" s="21" t="s">
        <v>304</v>
      </c>
    </row>
    <row r="11" customFormat="false" ht="15" hidden="false" customHeight="false" outlineLevel="0" collapsed="false">
      <c r="A11" s="21" t="s">
        <v>305</v>
      </c>
      <c r="B11" s="21" t="s">
        <v>306</v>
      </c>
      <c r="C11" s="26" t="n">
        <v>2300000</v>
      </c>
      <c r="D11" s="26" t="n">
        <v>0</v>
      </c>
      <c r="E11" s="28" t="n">
        <f aca="false">C11+D11</f>
        <v>2300000</v>
      </c>
      <c r="F11" s="29" t="n">
        <v>0</v>
      </c>
      <c r="G11" s="28" t="n">
        <f aca="false">C11*F11</f>
        <v>0</v>
      </c>
      <c r="H11" s="26" t="n">
        <v>0</v>
      </c>
      <c r="I11" s="28" t="n">
        <f aca="false">MAX(0,H11-G11)</f>
        <v>0</v>
      </c>
      <c r="J11" s="21" t="s">
        <v>307</v>
      </c>
      <c r="K11" s="21" t="s">
        <v>307</v>
      </c>
      <c r="L11" s="21" t="s">
        <v>282</v>
      </c>
      <c r="M11" s="21" t="s">
        <v>308</v>
      </c>
    </row>
    <row r="12" customFormat="false" ht="15" hidden="false" customHeight="false" outlineLevel="0" collapsed="false">
      <c r="A12" s="21" t="s">
        <v>309</v>
      </c>
      <c r="B12" s="21" t="s">
        <v>310</v>
      </c>
      <c r="C12" s="26" t="n">
        <v>1450000</v>
      </c>
      <c r="D12" s="26" t="n">
        <v>0</v>
      </c>
      <c r="E12" s="28" t="n">
        <f aca="false">C12+D12</f>
        <v>1450000</v>
      </c>
      <c r="F12" s="29" t="n">
        <v>0</v>
      </c>
      <c r="G12" s="28" t="n">
        <f aca="false">C12*F12</f>
        <v>0</v>
      </c>
      <c r="H12" s="26" t="n">
        <v>0</v>
      </c>
      <c r="I12" s="28" t="n">
        <f aca="false">MAX(0,H12-G12)</f>
        <v>0</v>
      </c>
      <c r="J12" s="21" t="s">
        <v>311</v>
      </c>
      <c r="K12" s="21" t="s">
        <v>311</v>
      </c>
      <c r="L12" s="21" t="s">
        <v>282</v>
      </c>
      <c r="M12" s="21" t="s">
        <v>308</v>
      </c>
    </row>
    <row r="13" customFormat="false" ht="15" hidden="false" customHeight="false" outlineLevel="0" collapsed="false">
      <c r="A13" s="3" t="s">
        <v>263</v>
      </c>
      <c r="C13" s="15" t="n">
        <f aca="false">SUM(C5:C12)</f>
        <v>21000000</v>
      </c>
      <c r="D13" s="15" t="n">
        <f aca="false">SUM(D5:D12)</f>
        <v>312000</v>
      </c>
      <c r="E13" s="15" t="n">
        <f aca="false">SUM(E5:E12)</f>
        <v>21312000</v>
      </c>
      <c r="G13" s="15" t="n">
        <f aca="false">SUM(G5:G12)</f>
        <v>7788600</v>
      </c>
      <c r="H13" s="15" t="n">
        <f aca="false">SUM(H5:H12)</f>
        <v>7779000</v>
      </c>
      <c r="I13" s="15" t="n">
        <f aca="false">SUM(I5:I12)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2026-10-13T19:38:29Z</dcterms:created>
  <dc:creator>openpyxl</dc:creator>
  <dc:description/>
  <dc:language>en-US</dc:language>
  <cp:lastModifiedBy/>
  <dcterms:modified xsi:type="dcterms:W3CDTF">2026-10-13T13:38:42Z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